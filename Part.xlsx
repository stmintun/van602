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22" fontId="0" fillId="0" borderId="0" xfId="0" applyNumberFormat="true"/>
    <xf numFmtId="21" fontId="0" fillId="0" borderId="0" xfId="0" applyNumberFormat="true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X221"/>
  <sheetViews>
    <sheetView workbookViewId="0" tabSelected="true"/>
  </sheetViews>
  <sheetFormatPr defaultRowHeight="15.0"/>
  <cols>
    <col min="1" max="1" width="5.0546875" customWidth="true"/>
    <col min="2" max="2" width="13.14453125" customWidth="true"/>
    <col min="3" max="3" width="63.6171875" customWidth="true"/>
    <col min="4" max="4" width="13.7265625" customWidth="true"/>
    <col min="5" max="5" width="10.20703125" customWidth="true"/>
    <col min="6" max="6" width="11.03515625" customWidth="true"/>
    <col min="7" max="7" width="7.98046875" customWidth="true"/>
    <col min="8" max="8" width="12.91796875" customWidth="true"/>
    <col min="9" max="9" width="22.37109375" customWidth="true"/>
    <col min="10" max="10" width="10.171875" customWidth="true"/>
    <col min="11" max="11" width="8.44921875" customWidth="true"/>
    <col min="12" max="12" width="15.0546875" customWidth="true"/>
    <col min="13" max="13" width="11.9375" customWidth="true"/>
    <col min="14" max="14" width="6.0390625" customWidth="true"/>
    <col min="15" max="15" width="6.40625" customWidth="true"/>
    <col min="16" max="16" width="6.078125" customWidth="true"/>
    <col min="17" max="17" width="5.578125" customWidth="true"/>
    <col min="18" max="18" width="16.58203125" customWidth="true"/>
    <col min="19" max="19" width="11.05078125" customWidth="true"/>
    <col min="20" max="20" width="16.0859375" customWidth="true"/>
    <col min="21" max="21" width="17.08984375" customWidth="true"/>
    <col min="22" max="22" width="22.125" customWidth="true"/>
    <col min="23" max="23" width="11.56640625" customWidth="true"/>
    <col min="24" max="24" width="17.6015625" customWidth="true"/>
    <col min="25" max="25" width="11.57421875" customWidth="true"/>
    <col min="26" max="26" width="16.5859375" customWidth="true"/>
    <col min="27" max="27" width="17.5859375" customWidth="true"/>
    <col min="28" max="28" width="22.62109375" customWidth="true"/>
    <col min="29" max="29" width="11.38671875" customWidth="true"/>
    <col min="30" max="30" width="4.36328125" customWidth="true"/>
    <col min="31" max="31" width="9.3984375" customWidth="true"/>
    <col min="32" max="32" width="10.40234375" customWidth="true"/>
    <col min="33" max="33" width="15.4375" customWidth="true"/>
    <col min="34" max="34" width="6.1953125" customWidth="true"/>
    <col min="35" max="35" width="17.0" customWidth="true"/>
    <col min="36" max="36" width="10.91796875" customWidth="true"/>
    <col min="37" max="37" width="11.92578125" customWidth="true"/>
    <col min="38" max="38" width="17.0" customWidth="true"/>
    <col min="39" max="39" width="15.76953125" customWidth="true"/>
    <col min="40" max="40" width="25.22265625" customWidth="true"/>
    <col min="41" max="41" width="17.52734375" customWidth="true"/>
    <col min="42" max="42" width="12.97265625" customWidth="true"/>
    <col min="43" max="43" width="13.12890625" customWidth="true"/>
    <col min="44" max="44" width="12.39453125" customWidth="true"/>
    <col min="45" max="45" width="17.77734375" customWidth="true"/>
    <col min="46" max="46" width="12.3671875" customWidth="true"/>
    <col min="47" max="47" width="14.35546875" customWidth="true"/>
    <col min="48" max="48" width="6.02734375" customWidth="true"/>
    <col min="49" max="49" width="11.1640625" customWidth="true"/>
    <col min="50" max="50" width="18.140625" customWidth="true"/>
    <col min="51" max="51" width="18.90625" customWidth="true"/>
    <col min="52" max="52" width="17.17578125" customWidth="true"/>
    <col min="53" max="53" width="7.58984375" customWidth="true"/>
    <col min="54" max="54" width="17.0390625" customWidth="true"/>
    <col min="55" max="55" width="6.3359375" customWidth="true"/>
    <col min="56" max="56" width="15.78515625" customWidth="true"/>
    <col min="57" max="57" width="9.828125" customWidth="true"/>
    <col min="58" max="58" width="19.27734375" customWidth="true"/>
    <col min="59" max="59" width="6.80078125" customWidth="true"/>
    <col min="60" max="60" width="16.25390625" customWidth="true"/>
    <col min="61" max="61" width="12.91796875" customWidth="true"/>
    <col min="62" max="62" width="13.7734375" customWidth="true"/>
    <col min="63" max="63" width="15.95703125" customWidth="true"/>
    <col min="64" max="64" width="25.40625" customWidth="true"/>
    <col min="65" max="65" width="5.0859375" customWidth="true"/>
    <col min="66" max="66" width="21.140625" customWidth="true"/>
    <col min="67" max="67" width="22.828125" customWidth="true"/>
    <col min="68" max="68" width="25.01171875" customWidth="true"/>
    <col min="69" max="69" width="34.4609375" customWidth="true"/>
    <col min="70" max="70" width="14.140625" customWidth="true"/>
    <col min="71" max="71" width="30.1953125" customWidth="true"/>
    <col min="72" max="72" width="17.0234375" customWidth="true"/>
    <col min="73" max="73" width="7.03125" customWidth="true"/>
    <col min="74" max="74" width="20.1015625" customWidth="true"/>
    <col min="75" max="75" width="10.06640625" customWidth="true"/>
    <col min="76" max="76" width="17.20703125" customWidth="true"/>
  </cols>
  <sheetData>
    <row r="1">
      <c r="A1" t="inlineStr">
        <is>
          <t>Site</t>
        </is>
      </c>
      <c r="B1" t="inlineStr">
        <is>
          <t>Part</t>
        </is>
      </c>
      <c r="C1" t="inlineStr">
        <is>
          <t>Part Description</t>
        </is>
      </c>
      <c r="D1" t="inlineStr">
        <is>
          <t>Configuration ID</t>
        </is>
      </c>
      <c r="E1" t="inlineStr">
        <is>
          <t>Location No</t>
        </is>
      </c>
      <c r="F1" t="inlineStr">
        <is>
          <t>Lot/Batch No</t>
        </is>
      </c>
      <c r="G1" t="inlineStr">
        <is>
          <t>Serial No</t>
        </is>
      </c>
      <c r="H1" t="inlineStr">
        <is>
          <t>Condition Code</t>
        </is>
      </c>
      <c r="I1" t="inlineStr">
        <is>
          <t>Condition Code Description</t>
        </is>
      </c>
      <c r="J1" t="inlineStr">
        <is>
          <t>Revision No</t>
        </is>
      </c>
      <c r="K1" t="inlineStr">
        <is>
          <t>W/D/R No</t>
        </is>
      </c>
      <c r="L1" t="inlineStr">
        <is>
          <t>Activity Sequence</t>
        </is>
      </c>
      <c r="M1" t="inlineStr">
        <is>
          <t>Warehouse ID</t>
        </is>
      </c>
      <c r="N1" t="inlineStr">
        <is>
          <t>Bay ID</t>
        </is>
      </c>
      <c r="O1" t="inlineStr">
        <is>
          <t>Row ID</t>
        </is>
      </c>
      <c r="P1" t="inlineStr">
        <is>
          <t>Tier ID</t>
        </is>
      </c>
      <c r="Q1" t="inlineStr">
        <is>
          <t>Bin ID</t>
        </is>
      </c>
      <c r="R1" t="inlineStr">
        <is>
          <t>Rotable Part Pool ID</t>
        </is>
      </c>
      <c r="S1" t="inlineStr">
        <is>
          <t>On Hand Qty</t>
        </is>
      </c>
      <c r="T1" t="inlineStr">
        <is>
          <t>On Hand Catch Qty</t>
        </is>
      </c>
      <c r="U1" t="inlineStr">
        <is>
          <t>Unified On Hand Qty</t>
        </is>
      </c>
      <c r="V1" t="inlineStr">
        <is>
          <t>Unified Catch On Hand Qty</t>
        </is>
      </c>
      <c r="W1" t="inlineStr">
        <is>
          <t>Reserved Qty</t>
        </is>
      </c>
      <c r="X1" t="inlineStr">
        <is>
          <t>Unified Reserved Qty</t>
        </is>
      </c>
      <c r="Y1" t="inlineStr">
        <is>
          <t>In Transit Qty</t>
        </is>
      </c>
      <c r="Z1" t="inlineStr">
        <is>
          <t>Catch Qty in Transit</t>
        </is>
      </c>
      <c r="AA1" t="inlineStr">
        <is>
          <t>Unified Qty in Transit</t>
        </is>
      </c>
      <c r="AB1" t="inlineStr">
        <is>
          <t>Unified Catch Qty in Transit</t>
        </is>
      </c>
      <c r="AC1" t="inlineStr">
        <is>
          <t>Available Qty</t>
        </is>
      </c>
      <c r="AD1" t="inlineStr">
        <is>
          <t>UoM</t>
        </is>
      </c>
      <c r="AE1" t="inlineStr">
        <is>
          <t>Catch UoM</t>
        </is>
      </c>
      <c r="AF1" t="inlineStr">
        <is>
          <t>Unified UoM</t>
        </is>
      </c>
      <c r="AG1" t="inlineStr">
        <is>
          <t>Unified Catch UoM</t>
        </is>
      </c>
      <c r="AH1" t="inlineStr">
        <is>
          <t>Frozen</t>
        </is>
      </c>
      <c r="AI1" t="inlineStr">
        <is>
          <t>Last Activity Date</t>
        </is>
      </c>
      <c r="AJ1" t="inlineStr">
        <is>
          <t>Latest Count</t>
        </is>
      </c>
      <c r="AK1" t="inlineStr">
        <is>
          <t>Location Type</t>
        </is>
      </c>
      <c r="AL1" t="inlineStr">
        <is>
          <t>Receipt Date</t>
        </is>
      </c>
      <c r="AM1" t="inlineStr">
        <is>
          <t>Availability Control</t>
        </is>
      </c>
      <c r="AN1" t="inlineStr">
        <is>
          <t>Availability Control Description</t>
        </is>
      </c>
      <c r="AO1" t="inlineStr">
        <is>
          <t>Avg Unit Transit Cost</t>
        </is>
      </c>
      <c r="AP1" t="inlineStr">
        <is>
          <t>Count Variance</t>
        </is>
      </c>
      <c r="AQ1" t="inlineStr">
        <is>
          <t>Expiration Date</t>
        </is>
      </c>
      <c r="AR1" t="inlineStr">
        <is>
          <t>Unit Cost</t>
        </is>
      </c>
      <c r="AS1" t="inlineStr">
        <is>
          <t>Total Inventory Value</t>
        </is>
      </c>
      <c r="AT1" t="inlineStr">
        <is>
          <t>Base Currency</t>
        </is>
      </c>
      <c r="AU1" t="inlineStr">
        <is>
          <t>Ownership</t>
        </is>
      </c>
      <c r="AV1" t="inlineStr">
        <is>
          <t>Owner</t>
        </is>
      </c>
      <c r="AW1" t="inlineStr">
        <is>
          <t>Owner Name</t>
        </is>
      </c>
      <c r="AX1" t="inlineStr">
        <is>
          <t>Part Acquisition Value</t>
        </is>
      </c>
      <c r="AY1" t="inlineStr">
        <is>
          <t>Total Acquisition Value</t>
        </is>
      </c>
      <c r="AZ1" t="inlineStr">
        <is>
          <t>Acquisition Currency</t>
        </is>
      </c>
      <c r="BA1" t="inlineStr">
        <is>
          <t>Program</t>
        </is>
      </c>
      <c r="BB1" t="inlineStr">
        <is>
          <t>Program Description</t>
        </is>
      </c>
      <c r="BC1" t="inlineStr">
        <is>
          <t>Project</t>
        </is>
      </c>
      <c r="BD1" t="inlineStr">
        <is>
          <t>Project Description</t>
        </is>
      </c>
      <c r="BE1" t="inlineStr">
        <is>
          <t>Sub Project</t>
        </is>
      </c>
      <c r="BF1" t="inlineStr">
        <is>
          <t>Sub Project Description</t>
        </is>
      </c>
      <c r="BG1" t="inlineStr">
        <is>
          <t>Activity</t>
        </is>
      </c>
      <c r="BH1" t="inlineStr">
        <is>
          <t>Activity Description</t>
        </is>
      </c>
      <c r="BI1" t="inlineStr">
        <is>
          <t>Structure Level</t>
        </is>
      </c>
      <c r="BJ1" t="inlineStr">
        <is>
          <t>Handling Unit ID</t>
        </is>
      </c>
      <c r="BK1" t="inlineStr">
        <is>
          <t>Handling Unit Type</t>
        </is>
      </c>
      <c r="BL1" t="inlineStr">
        <is>
          <t>Handling Unit Type Description</t>
        </is>
      </c>
      <c r="BM1" t="inlineStr">
        <is>
          <t>SSCC</t>
        </is>
      </c>
      <c r="BN1" t="inlineStr">
        <is>
          <t>Alt Handling Unit Label ID</t>
        </is>
      </c>
      <c r="BO1" t="inlineStr">
        <is>
          <t>Top Parent Handling Unit ID</t>
        </is>
      </c>
      <c r="BP1" t="inlineStr">
        <is>
          <t>Top Parent Handling Unit Type</t>
        </is>
      </c>
      <c r="BQ1" t="inlineStr">
        <is>
          <t>Top Parent Handling Unit Type Description</t>
        </is>
      </c>
      <c r="BR1" t="inlineStr">
        <is>
          <t>Top Parent SSCC</t>
        </is>
      </c>
      <c r="BS1" t="inlineStr">
        <is>
          <t>Top Parent Alt Handling Unit Label ID</t>
        </is>
      </c>
      <c r="BT1" t="inlineStr">
        <is>
          <t>Location Description</t>
        </is>
      </c>
      <c r="BU1" t="inlineStr">
        <is>
          <t>Remote</t>
        </is>
      </c>
      <c r="BV1" t="inlineStr">
        <is>
          <t>Engineering Revision No</t>
        </is>
      </c>
      <c r="BW1" t="inlineStr">
        <is>
          <t>Drawing No</t>
        </is>
      </c>
      <c r="BX1" t="inlineStr">
        <is>
          <t>Drawing Revision No</t>
        </is>
      </c>
    </row>
    <row r="2">
      <c r="A2" s="5" t="inlineStr">
        <is>
          <t>SERV</t>
        </is>
      </c>
      <c r="B2" s="5" t="inlineStr">
        <is>
          <t>137661</t>
        </is>
      </c>
      <c r="C2" s="5" t="inlineStr">
        <is>
          <t>Switch Micro Door Closed &amp; Leading Edge</t>
        </is>
      </c>
      <c r="D2" s="5" t="inlineStr">
        <is>
          <t>*</t>
        </is>
      </c>
      <c r="E2" s="5" t="inlineStr">
        <is>
          <t>602-003</t>
        </is>
      </c>
      <c r="F2" s="5" t="inlineStr">
        <is>
          <t>*</t>
        </is>
      </c>
      <c r="G2" s="5" t="inlineStr">
        <is>
          <t>*</t>
        </is>
      </c>
      <c r="H2"/>
      <c r="I2"/>
      <c r="J2" s="5" t="inlineStr">
        <is>
          <t>0</t>
        </is>
      </c>
      <c r="K2" s="5" t="inlineStr">
        <is>
          <t>*</t>
        </is>
      </c>
      <c r="L2" t="n">
        <v>0.0</v>
      </c>
      <c r="M2" s="5" t="inlineStr">
        <is>
          <t>602</t>
        </is>
      </c>
      <c r="N2" s="5" t="inlineStr">
        <is>
          <t xml:space="preserve">  -</t>
        </is>
      </c>
      <c r="O2" s="5" t="inlineStr">
        <is>
          <t xml:space="preserve">  -</t>
        </is>
      </c>
      <c r="P2" s="5" t="inlineStr">
        <is>
          <t xml:space="preserve">  -</t>
        </is>
      </c>
      <c r="Q2" s="5" t="inlineStr">
        <is>
          <t>003</t>
        </is>
      </c>
      <c r="R2"/>
      <c r="S2" t="n">
        <v>1.0</v>
      </c>
      <c r="T2"/>
      <c r="U2" t="n">
        <v>1.0</v>
      </c>
      <c r="V2"/>
      <c r="W2" t="n">
        <v>0.0</v>
      </c>
      <c r="X2" t="n">
        <v>0.0</v>
      </c>
      <c r="Y2" t="n">
        <v>0.0</v>
      </c>
      <c r="Z2"/>
      <c r="AA2" t="n">
        <v>0.0</v>
      </c>
      <c r="AB2"/>
      <c r="AC2" t="n">
        <v>1.0</v>
      </c>
      <c r="AD2" s="5" t="inlineStr">
        <is>
          <t>pcs</t>
        </is>
      </c>
      <c r="AE2"/>
      <c r="AF2" s="5" t="inlineStr">
        <is>
          <t>pcs</t>
        </is>
      </c>
      <c r="AG2"/>
      <c r="AH2" t="inlineStr">
        <is>
          <t>No</t>
        </is>
      </c>
      <c r="AI2" s="2" t="n">
        <v>45988.32876157408</v>
      </c>
      <c r="AJ2" s="1" t="n">
        <f>DATE(2025,7,3)</f>
        <v>0.0</v>
      </c>
      <c r="AK2" t="inlineStr">
        <is>
          <t>Picking</t>
        </is>
      </c>
      <c r="AL2" s="2" t="n">
        <v>45936.37803240741</v>
      </c>
      <c r="AM2"/>
      <c r="AN2"/>
      <c r="AO2" t="n">
        <v>0.0</v>
      </c>
      <c r="AP2" t="n">
        <v>0.0</v>
      </c>
      <c r="AQ2"/>
      <c r="AR2" t="n">
        <v>44.7699475410506</v>
      </c>
      <c r="AS2" t="n">
        <v>44.7699475410506</v>
      </c>
      <c r="AT2" s="5" t="inlineStr">
        <is>
          <t>AUD</t>
        </is>
      </c>
      <c r="AU2" t="inlineStr">
        <is>
          <t>Company Owned</t>
        </is>
      </c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t="n">
        <v>0.0</v>
      </c>
      <c r="BK2"/>
      <c r="BL2"/>
      <c r="BM2"/>
      <c r="BN2"/>
      <c r="BO2"/>
      <c r="BP2"/>
      <c r="BQ2"/>
      <c r="BR2"/>
      <c r="BS2"/>
      <c r="BT2"/>
      <c r="BU2" t="inlineStr">
        <is>
          <t>Yes</t>
        </is>
      </c>
      <c r="BV2"/>
      <c r="BW2"/>
      <c r="BX2"/>
    </row>
    <row r="3">
      <c r="A3" s="5" t="inlineStr">
        <is>
          <t>SERV</t>
        </is>
      </c>
      <c r="B3" s="5" t="inlineStr">
        <is>
          <t>137685</t>
        </is>
      </c>
      <c r="C3" s="5" t="inlineStr">
        <is>
          <t>Sensor Photo-Elec P/W</t>
        </is>
      </c>
      <c r="D3" s="5" t="inlineStr">
        <is>
          <t>*</t>
        </is>
      </c>
      <c r="E3" s="5" t="inlineStr">
        <is>
          <t>602-002</t>
        </is>
      </c>
      <c r="F3" s="5" t="inlineStr">
        <is>
          <t>*</t>
        </is>
      </c>
      <c r="G3" s="5" t="inlineStr">
        <is>
          <t>*</t>
        </is>
      </c>
      <c r="H3"/>
      <c r="I3"/>
      <c r="J3" s="5" t="inlineStr">
        <is>
          <t>0</t>
        </is>
      </c>
      <c r="K3" s="5" t="inlineStr">
        <is>
          <t>*</t>
        </is>
      </c>
      <c r="L3" t="n">
        <v>0.0</v>
      </c>
      <c r="M3" s="5" t="inlineStr">
        <is>
          <t>602</t>
        </is>
      </c>
      <c r="N3" s="5" t="inlineStr">
        <is>
          <t xml:space="preserve">  -</t>
        </is>
      </c>
      <c r="O3" s="5" t="inlineStr">
        <is>
          <t xml:space="preserve">  -</t>
        </is>
      </c>
      <c r="P3" s="5" t="inlineStr">
        <is>
          <t xml:space="preserve">  -</t>
        </is>
      </c>
      <c r="Q3" s="5" t="inlineStr">
        <is>
          <t>002</t>
        </is>
      </c>
      <c r="R3"/>
      <c r="S3" t="n">
        <v>1.0</v>
      </c>
      <c r="T3"/>
      <c r="U3" t="n">
        <v>1.0</v>
      </c>
      <c r="V3"/>
      <c r="W3" t="n">
        <v>0.0</v>
      </c>
      <c r="X3" t="n">
        <v>0.0</v>
      </c>
      <c r="Y3" t="n">
        <v>0.0</v>
      </c>
      <c r="Z3"/>
      <c r="AA3" t="n">
        <v>0.0</v>
      </c>
      <c r="AB3"/>
      <c r="AC3" t="n">
        <v>1.0</v>
      </c>
      <c r="AD3" s="5" t="inlineStr">
        <is>
          <t>pcs</t>
        </is>
      </c>
      <c r="AE3"/>
      <c r="AF3" s="5" t="inlineStr">
        <is>
          <t>pcs</t>
        </is>
      </c>
      <c r="AG3"/>
      <c r="AH3" t="inlineStr">
        <is>
          <t>No</t>
        </is>
      </c>
      <c r="AI3" s="2" t="n">
        <v>45841.4087037037</v>
      </c>
      <c r="AJ3" s="1" t="n">
        <f>DATE(2025,7,3)</f>
        <v>0.0</v>
      </c>
      <c r="AK3" t="inlineStr">
        <is>
          <t>Picking</t>
        </is>
      </c>
      <c r="AL3" s="2" t="n">
        <v>41183.44461805555</v>
      </c>
      <c r="AM3"/>
      <c r="AN3"/>
      <c r="AO3" t="n">
        <v>0.0</v>
      </c>
      <c r="AP3" t="n">
        <v>0.0</v>
      </c>
      <c r="AQ3"/>
      <c r="AR3" t="n">
        <v>53.70302693807124</v>
      </c>
      <c r="AS3" t="n">
        <v>53.70302693807124</v>
      </c>
      <c r="AT3" s="5" t="inlineStr">
        <is>
          <t>AUD</t>
        </is>
      </c>
      <c r="AU3" t="inlineStr">
        <is>
          <t>Company Owned</t>
        </is>
      </c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t="n">
        <v>0.0</v>
      </c>
      <c r="BK3"/>
      <c r="BL3"/>
      <c r="BM3"/>
      <c r="BN3"/>
      <c r="BO3"/>
      <c r="BP3"/>
      <c r="BQ3"/>
      <c r="BR3"/>
      <c r="BS3"/>
      <c r="BT3"/>
      <c r="BU3" t="inlineStr">
        <is>
          <t>Yes</t>
        </is>
      </c>
      <c r="BV3"/>
      <c r="BW3"/>
      <c r="BX3"/>
    </row>
    <row r="4">
      <c r="A4" s="5" t="inlineStr">
        <is>
          <t>SERV</t>
        </is>
      </c>
      <c r="B4" s="5" t="inlineStr">
        <is>
          <t>137707</t>
        </is>
      </c>
      <c r="C4" s="5" t="inlineStr">
        <is>
          <t>Trap Air &amp; Steam 15mm Brass</t>
        </is>
      </c>
      <c r="D4" s="5" t="inlineStr">
        <is>
          <t>*</t>
        </is>
      </c>
      <c r="E4" s="5" t="inlineStr">
        <is>
          <t>602-019</t>
        </is>
      </c>
      <c r="F4" s="5" t="inlineStr">
        <is>
          <t>*</t>
        </is>
      </c>
      <c r="G4" s="5" t="inlineStr">
        <is>
          <t>*</t>
        </is>
      </c>
      <c r="H4"/>
      <c r="I4"/>
      <c r="J4" s="5" t="inlineStr">
        <is>
          <t>0</t>
        </is>
      </c>
      <c r="K4" s="5" t="inlineStr">
        <is>
          <t>*</t>
        </is>
      </c>
      <c r="L4" t="n">
        <v>0.0</v>
      </c>
      <c r="M4" s="5" t="inlineStr">
        <is>
          <t>602</t>
        </is>
      </c>
      <c r="N4" s="5" t="inlineStr">
        <is>
          <t xml:space="preserve">  -</t>
        </is>
      </c>
      <c r="O4" s="5" t="inlineStr">
        <is>
          <t xml:space="preserve">  -</t>
        </is>
      </c>
      <c r="P4" s="5" t="inlineStr">
        <is>
          <t xml:space="preserve">  -</t>
        </is>
      </c>
      <c r="Q4" s="5" t="inlineStr">
        <is>
          <t>019</t>
        </is>
      </c>
      <c r="R4"/>
      <c r="S4" t="n">
        <v>2.0</v>
      </c>
      <c r="T4"/>
      <c r="U4" t="n">
        <v>2.0</v>
      </c>
      <c r="V4"/>
      <c r="W4" t="n">
        <v>0.0</v>
      </c>
      <c r="X4" t="n">
        <v>0.0</v>
      </c>
      <c r="Y4" t="n">
        <v>0.0</v>
      </c>
      <c r="Z4"/>
      <c r="AA4" t="n">
        <v>0.0</v>
      </c>
      <c r="AB4"/>
      <c r="AC4" t="n">
        <v>2.0</v>
      </c>
      <c r="AD4" s="5" t="inlineStr">
        <is>
          <t>pcs</t>
        </is>
      </c>
      <c r="AE4"/>
      <c r="AF4" s="5" t="inlineStr">
        <is>
          <t>pcs</t>
        </is>
      </c>
      <c r="AG4"/>
      <c r="AH4" t="inlineStr">
        <is>
          <t>No</t>
        </is>
      </c>
      <c r="AI4" s="2" t="n">
        <v>45841.40875</v>
      </c>
      <c r="AJ4" s="1" t="n">
        <f>DATE(2025,7,3)</f>
        <v>0.0</v>
      </c>
      <c r="AK4" t="inlineStr">
        <is>
          <t>Picking</t>
        </is>
      </c>
      <c r="AL4" s="2" t="n">
        <v>41183.44053240741</v>
      </c>
      <c r="AM4"/>
      <c r="AN4"/>
      <c r="AO4" t="n">
        <v>0.0</v>
      </c>
      <c r="AP4" t="n">
        <v>0.0</v>
      </c>
      <c r="AQ4"/>
      <c r="AR4" t="n">
        <v>130.60348134468913</v>
      </c>
      <c r="AS4" t="n">
        <v>261.20696268937826</v>
      </c>
      <c r="AT4" s="5" t="inlineStr">
        <is>
          <t>AUD</t>
        </is>
      </c>
      <c r="AU4" t="inlineStr">
        <is>
          <t>Company Owned</t>
        </is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t="n">
        <v>0.0</v>
      </c>
      <c r="BK4"/>
      <c r="BL4"/>
      <c r="BM4"/>
      <c r="BN4"/>
      <c r="BO4"/>
      <c r="BP4"/>
      <c r="BQ4"/>
      <c r="BR4"/>
      <c r="BS4"/>
      <c r="BT4"/>
      <c r="BU4" t="inlineStr">
        <is>
          <t>Yes</t>
        </is>
      </c>
      <c r="BV4"/>
      <c r="BW4"/>
      <c r="BX4"/>
    </row>
    <row r="5">
      <c r="A5" s="5" t="inlineStr">
        <is>
          <t>SERV</t>
        </is>
      </c>
      <c r="B5" s="5" t="inlineStr">
        <is>
          <t>136072</t>
        </is>
      </c>
      <c r="C5" s="5" t="inlineStr">
        <is>
          <t>Ribbon Cartridge Centenary Sterilizer Innova M4 M5 M5ISO Dragon</t>
        </is>
      </c>
      <c r="D5" s="5" t="inlineStr">
        <is>
          <t>*</t>
        </is>
      </c>
      <c r="E5" s="5" t="inlineStr">
        <is>
          <t>602-013</t>
        </is>
      </c>
      <c r="F5" s="5" t="inlineStr">
        <is>
          <t>*</t>
        </is>
      </c>
      <c r="G5" s="5" t="inlineStr">
        <is>
          <t>*</t>
        </is>
      </c>
      <c r="H5"/>
      <c r="I5"/>
      <c r="J5" s="5" t="inlineStr">
        <is>
          <t>0</t>
        </is>
      </c>
      <c r="K5" s="5" t="inlineStr">
        <is>
          <t>*</t>
        </is>
      </c>
      <c r="L5" t="n">
        <v>0.0</v>
      </c>
      <c r="M5" s="5" t="inlineStr">
        <is>
          <t>602</t>
        </is>
      </c>
      <c r="N5" s="5" t="inlineStr">
        <is>
          <t xml:space="preserve">  -</t>
        </is>
      </c>
      <c r="O5" s="5" t="inlineStr">
        <is>
          <t xml:space="preserve">  -</t>
        </is>
      </c>
      <c r="P5" s="5" t="inlineStr">
        <is>
          <t xml:space="preserve">  -</t>
        </is>
      </c>
      <c r="Q5" s="5" t="inlineStr">
        <is>
          <t>013</t>
        </is>
      </c>
      <c r="R5"/>
      <c r="S5" t="n">
        <v>2.0</v>
      </c>
      <c r="T5"/>
      <c r="U5" t="n">
        <v>2.0</v>
      </c>
      <c r="V5"/>
      <c r="W5" t="n">
        <v>0.0</v>
      </c>
      <c r="X5" t="n">
        <v>0.0</v>
      </c>
      <c r="Y5" t="n">
        <v>0.0</v>
      </c>
      <c r="Z5"/>
      <c r="AA5" t="n">
        <v>0.0</v>
      </c>
      <c r="AB5"/>
      <c r="AC5" t="n">
        <v>2.0</v>
      </c>
      <c r="AD5" s="5" t="inlineStr">
        <is>
          <t>pcs</t>
        </is>
      </c>
      <c r="AE5"/>
      <c r="AF5" s="5" t="inlineStr">
        <is>
          <t>pcs</t>
        </is>
      </c>
      <c r="AG5"/>
      <c r="AH5" t="inlineStr">
        <is>
          <t>No</t>
        </is>
      </c>
      <c r="AI5" s="2" t="n">
        <v>45841.408738425926</v>
      </c>
      <c r="AJ5" s="1" t="n">
        <f>DATE(2025,7,3)</f>
        <v>0.0</v>
      </c>
      <c r="AK5" t="inlineStr">
        <is>
          <t>Picking</t>
        </is>
      </c>
      <c r="AL5" s="2" t="n">
        <v>41183.43991898148</v>
      </c>
      <c r="AM5"/>
      <c r="AN5"/>
      <c r="AO5" t="n">
        <v>0.0</v>
      </c>
      <c r="AP5" t="n">
        <v>0.0</v>
      </c>
      <c r="AQ5"/>
      <c r="AR5" t="n">
        <v>6.95</v>
      </c>
      <c r="AS5" t="n">
        <v>13.9</v>
      </c>
      <c r="AT5" s="5" t="inlineStr">
        <is>
          <t>AUD</t>
        </is>
      </c>
      <c r="AU5" t="inlineStr">
        <is>
          <t>Company Owned</t>
        </is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t="n">
        <v>0.0</v>
      </c>
      <c r="BK5"/>
      <c r="BL5"/>
      <c r="BM5"/>
      <c r="BN5"/>
      <c r="BO5"/>
      <c r="BP5"/>
      <c r="BQ5"/>
      <c r="BR5"/>
      <c r="BS5"/>
      <c r="BT5"/>
      <c r="BU5" t="inlineStr">
        <is>
          <t>Yes</t>
        </is>
      </c>
      <c r="BV5"/>
      <c r="BW5"/>
      <c r="BX5"/>
    </row>
    <row r="6">
      <c r="A6" s="5" t="inlineStr">
        <is>
          <t>SERV</t>
        </is>
      </c>
      <c r="B6" s="5" t="inlineStr">
        <is>
          <t>136098</t>
        </is>
      </c>
      <c r="C6" s="5" t="inlineStr">
        <is>
          <t>Nut Lock S/S 3/8 Bsw.</t>
        </is>
      </c>
      <c r="D6" s="5" t="inlineStr">
        <is>
          <t>*</t>
        </is>
      </c>
      <c r="E6" s="5" t="inlineStr">
        <is>
          <t>602-018</t>
        </is>
      </c>
      <c r="F6" s="5" t="inlineStr">
        <is>
          <t>*</t>
        </is>
      </c>
      <c r="G6" s="5" t="inlineStr">
        <is>
          <t>*</t>
        </is>
      </c>
      <c r="H6"/>
      <c r="I6"/>
      <c r="J6" s="5" t="inlineStr">
        <is>
          <t>0</t>
        </is>
      </c>
      <c r="K6" s="5" t="inlineStr">
        <is>
          <t>*</t>
        </is>
      </c>
      <c r="L6" t="n">
        <v>0.0</v>
      </c>
      <c r="M6" s="5" t="inlineStr">
        <is>
          <t>602</t>
        </is>
      </c>
      <c r="N6" s="5" t="inlineStr">
        <is>
          <t xml:space="preserve">  -</t>
        </is>
      </c>
      <c r="O6" s="5" t="inlineStr">
        <is>
          <t xml:space="preserve">  -</t>
        </is>
      </c>
      <c r="P6" s="5" t="inlineStr">
        <is>
          <t xml:space="preserve">  -</t>
        </is>
      </c>
      <c r="Q6" s="5" t="inlineStr">
        <is>
          <t>018</t>
        </is>
      </c>
      <c r="R6"/>
      <c r="S6" t="n">
        <v>4.0</v>
      </c>
      <c r="T6"/>
      <c r="U6" t="n">
        <v>4.0</v>
      </c>
      <c r="V6"/>
      <c r="W6" t="n">
        <v>0.0</v>
      </c>
      <c r="X6" t="n">
        <v>0.0</v>
      </c>
      <c r="Y6" t="n">
        <v>0.0</v>
      </c>
      <c r="Z6"/>
      <c r="AA6" t="n">
        <v>0.0</v>
      </c>
      <c r="AB6"/>
      <c r="AC6" t="n">
        <v>4.0</v>
      </c>
      <c r="AD6" s="5" t="inlineStr">
        <is>
          <t>pcs</t>
        </is>
      </c>
      <c r="AE6"/>
      <c r="AF6" s="5" t="inlineStr">
        <is>
          <t>pcs</t>
        </is>
      </c>
      <c r="AG6"/>
      <c r="AH6" t="inlineStr">
        <is>
          <t>No</t>
        </is>
      </c>
      <c r="AI6" s="2" t="n">
        <v>45841.408738425926</v>
      </c>
      <c r="AJ6" s="1" t="n">
        <f>DATE(2025,7,3)</f>
        <v>0.0</v>
      </c>
      <c r="AK6" t="inlineStr">
        <is>
          <t>Picking</t>
        </is>
      </c>
      <c r="AL6" s="2" t="n">
        <v>44336.59341435185</v>
      </c>
      <c r="AM6"/>
      <c r="AN6"/>
      <c r="AO6" t="n">
        <v>0.0</v>
      </c>
      <c r="AP6" t="n">
        <v>0.0</v>
      </c>
      <c r="AQ6"/>
      <c r="AR6" t="n">
        <v>0.01</v>
      </c>
      <c r="AS6" t="n">
        <v>0.04</v>
      </c>
      <c r="AT6" s="5" t="inlineStr">
        <is>
          <t>AUD</t>
        </is>
      </c>
      <c r="AU6" t="inlineStr">
        <is>
          <t>Company Owned</t>
        </is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t="n">
        <v>0.0</v>
      </c>
      <c r="BK6"/>
      <c r="BL6"/>
      <c r="BM6"/>
      <c r="BN6"/>
      <c r="BO6"/>
      <c r="BP6"/>
      <c r="BQ6"/>
      <c r="BR6"/>
      <c r="BS6"/>
      <c r="BT6"/>
      <c r="BU6" t="inlineStr">
        <is>
          <t>Yes</t>
        </is>
      </c>
      <c r="BV6"/>
      <c r="BW6"/>
      <c r="BX6"/>
    </row>
    <row r="7">
      <c r="A7" s="5" t="inlineStr">
        <is>
          <t>SERV</t>
        </is>
      </c>
      <c r="B7" s="5" t="inlineStr">
        <is>
          <t>137047</t>
        </is>
      </c>
      <c r="C7" s="5" t="inlineStr">
        <is>
          <t>Valve Float 3/8 with 3" PVC Hot Water Ball (White)</t>
        </is>
      </c>
      <c r="D7" s="5" t="inlineStr">
        <is>
          <t>*</t>
        </is>
      </c>
      <c r="E7" s="5" t="inlineStr">
        <is>
          <t>602-011</t>
        </is>
      </c>
      <c r="F7" s="5" t="inlineStr">
        <is>
          <t>*</t>
        </is>
      </c>
      <c r="G7" s="5" t="inlineStr">
        <is>
          <t>*</t>
        </is>
      </c>
      <c r="H7"/>
      <c r="I7"/>
      <c r="J7" s="5" t="inlineStr">
        <is>
          <t>0</t>
        </is>
      </c>
      <c r="K7" s="5" t="inlineStr">
        <is>
          <t>*</t>
        </is>
      </c>
      <c r="L7" t="n">
        <v>0.0</v>
      </c>
      <c r="M7" s="5" t="inlineStr">
        <is>
          <t>602</t>
        </is>
      </c>
      <c r="N7" s="5" t="inlineStr">
        <is>
          <t xml:space="preserve">  -</t>
        </is>
      </c>
      <c r="O7" s="5" t="inlineStr">
        <is>
          <t xml:space="preserve">  -</t>
        </is>
      </c>
      <c r="P7" s="5" t="inlineStr">
        <is>
          <t xml:space="preserve">  -</t>
        </is>
      </c>
      <c r="Q7" s="5" t="inlineStr">
        <is>
          <t>011</t>
        </is>
      </c>
      <c r="R7"/>
      <c r="S7" t="n">
        <v>1.0</v>
      </c>
      <c r="T7"/>
      <c r="U7" t="n">
        <v>1.0</v>
      </c>
      <c r="V7"/>
      <c r="W7" t="n">
        <v>0.0</v>
      </c>
      <c r="X7" t="n">
        <v>0.0</v>
      </c>
      <c r="Y7" t="n">
        <v>0.0</v>
      </c>
      <c r="Z7"/>
      <c r="AA7" t="n">
        <v>0.0</v>
      </c>
      <c r="AB7"/>
      <c r="AC7" t="n">
        <v>1.0</v>
      </c>
      <c r="AD7" s="5" t="inlineStr">
        <is>
          <t>pcs</t>
        </is>
      </c>
      <c r="AE7"/>
      <c r="AF7" s="5" t="inlineStr">
        <is>
          <t>pcs</t>
        </is>
      </c>
      <c r="AG7"/>
      <c r="AH7" t="inlineStr">
        <is>
          <t>No</t>
        </is>
      </c>
      <c r="AI7" s="2" t="n">
        <v>45841.408738425926</v>
      </c>
      <c r="AJ7" s="1" t="n">
        <f>DATE(2025,7,3)</f>
        <v>0.0</v>
      </c>
      <c r="AK7" t="inlineStr">
        <is>
          <t>Picking</t>
        </is>
      </c>
      <c r="AL7" s="2" t="n">
        <v>44897.53320601852</v>
      </c>
      <c r="AM7"/>
      <c r="AN7"/>
      <c r="AO7" t="n">
        <v>0.0</v>
      </c>
      <c r="AP7" t="n">
        <v>0.0</v>
      </c>
      <c r="AQ7"/>
      <c r="AR7" t="n">
        <v>52.27678159740095</v>
      </c>
      <c r="AS7" t="n">
        <v>52.27678159740095</v>
      </c>
      <c r="AT7" s="5" t="inlineStr">
        <is>
          <t>AUD</t>
        </is>
      </c>
      <c r="AU7" t="inlineStr">
        <is>
          <t>Company Owned</t>
        </is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t="n">
        <v>0.0</v>
      </c>
      <c r="BK7"/>
      <c r="BL7"/>
      <c r="BM7"/>
      <c r="BN7"/>
      <c r="BO7"/>
      <c r="BP7"/>
      <c r="BQ7"/>
      <c r="BR7"/>
      <c r="BS7"/>
      <c r="BT7"/>
      <c r="BU7" t="inlineStr">
        <is>
          <t>Yes</t>
        </is>
      </c>
      <c r="BV7"/>
      <c r="BW7"/>
      <c r="BX7"/>
    </row>
    <row r="8">
      <c r="A8" s="5" t="inlineStr">
        <is>
          <t>SERV</t>
        </is>
      </c>
      <c r="B8" s="5" t="inlineStr">
        <is>
          <t>137435</t>
        </is>
      </c>
      <c r="C8" s="5" t="inlineStr">
        <is>
          <t>Valve Pressure Control Brass 1"</t>
        </is>
      </c>
      <c r="D8" s="5" t="inlineStr">
        <is>
          <t>*</t>
        </is>
      </c>
      <c r="E8" s="5" t="inlineStr">
        <is>
          <t>602-030</t>
        </is>
      </c>
      <c r="F8" s="5" t="inlineStr">
        <is>
          <t>*</t>
        </is>
      </c>
      <c r="G8" s="5" t="inlineStr">
        <is>
          <t>*</t>
        </is>
      </c>
      <c r="H8"/>
      <c r="I8"/>
      <c r="J8" s="5" t="inlineStr">
        <is>
          <t>0</t>
        </is>
      </c>
      <c r="K8" s="5" t="inlineStr">
        <is>
          <t>*</t>
        </is>
      </c>
      <c r="L8" t="n">
        <v>0.0</v>
      </c>
      <c r="M8" s="5" t="inlineStr">
        <is>
          <t>602</t>
        </is>
      </c>
      <c r="N8" s="5" t="inlineStr">
        <is>
          <t xml:space="preserve">  -</t>
        </is>
      </c>
      <c r="O8" s="5" t="inlineStr">
        <is>
          <t xml:space="preserve">  -</t>
        </is>
      </c>
      <c r="P8" s="5" t="inlineStr">
        <is>
          <t xml:space="preserve">  -</t>
        </is>
      </c>
      <c r="Q8" s="5" t="inlineStr">
        <is>
          <t>030</t>
        </is>
      </c>
      <c r="R8"/>
      <c r="S8" t="n">
        <v>1.0</v>
      </c>
      <c r="T8"/>
      <c r="U8" t="n">
        <v>1.0</v>
      </c>
      <c r="V8"/>
      <c r="W8" t="n">
        <v>0.0</v>
      </c>
      <c r="X8" t="n">
        <v>0.0</v>
      </c>
      <c r="Y8" t="n">
        <v>0.0</v>
      </c>
      <c r="Z8"/>
      <c r="AA8" t="n">
        <v>0.0</v>
      </c>
      <c r="AB8"/>
      <c r="AC8" t="n">
        <v>1.0</v>
      </c>
      <c r="AD8" s="5" t="inlineStr">
        <is>
          <t>pcs</t>
        </is>
      </c>
      <c r="AE8"/>
      <c r="AF8" s="5" t="inlineStr">
        <is>
          <t>pcs</t>
        </is>
      </c>
      <c r="AG8"/>
      <c r="AH8" t="inlineStr">
        <is>
          <t>No</t>
        </is>
      </c>
      <c r="AI8" s="2" t="n">
        <v>45940.43449074074</v>
      </c>
      <c r="AJ8" s="1" t="n">
        <f>DATE(2025,7,3)</f>
        <v>0.0</v>
      </c>
      <c r="AK8" t="inlineStr">
        <is>
          <t>Picking</t>
        </is>
      </c>
      <c r="AL8" s="2" t="n">
        <v>43532.44065972222</v>
      </c>
      <c r="AM8"/>
      <c r="AN8"/>
      <c r="AO8" t="n">
        <v>0.0</v>
      </c>
      <c r="AP8" t="n">
        <v>0.0</v>
      </c>
      <c r="AQ8"/>
      <c r="AR8" t="n">
        <v>674.5120812647478</v>
      </c>
      <c r="AS8" t="n">
        <v>674.5120812647478</v>
      </c>
      <c r="AT8" s="5" t="inlineStr">
        <is>
          <t>AUD</t>
        </is>
      </c>
      <c r="AU8" t="inlineStr">
        <is>
          <t>Company Owned</t>
        </is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t="n">
        <v>0.0</v>
      </c>
      <c r="BK8"/>
      <c r="BL8"/>
      <c r="BM8"/>
      <c r="BN8"/>
      <c r="BO8"/>
      <c r="BP8"/>
      <c r="BQ8"/>
      <c r="BR8"/>
      <c r="BS8"/>
      <c r="BT8"/>
      <c r="BU8" t="inlineStr">
        <is>
          <t>Yes</t>
        </is>
      </c>
      <c r="BV8"/>
      <c r="BW8"/>
      <c r="BX8"/>
    </row>
    <row r="9">
      <c r="A9" s="5" t="inlineStr">
        <is>
          <t>SERV</t>
        </is>
      </c>
      <c r="B9" s="5" t="inlineStr">
        <is>
          <t>137491</t>
        </is>
      </c>
      <c r="C9" s="5" t="inlineStr">
        <is>
          <t>Valve Ball 1" S/S for Motorized Valve</t>
        </is>
      </c>
      <c r="D9" s="5" t="inlineStr">
        <is>
          <t>*</t>
        </is>
      </c>
      <c r="E9" s="5" t="inlineStr">
        <is>
          <t>602-009</t>
        </is>
      </c>
      <c r="F9" s="5" t="inlineStr">
        <is>
          <t>*</t>
        </is>
      </c>
      <c r="G9" s="5" t="inlineStr">
        <is>
          <t>*</t>
        </is>
      </c>
      <c r="H9"/>
      <c r="I9"/>
      <c r="J9" s="5" t="inlineStr">
        <is>
          <t>0</t>
        </is>
      </c>
      <c r="K9" s="5" t="inlineStr">
        <is>
          <t>*</t>
        </is>
      </c>
      <c r="L9" t="n">
        <v>0.0</v>
      </c>
      <c r="M9" s="5" t="inlineStr">
        <is>
          <t>602</t>
        </is>
      </c>
      <c r="N9" s="5" t="inlineStr">
        <is>
          <t xml:space="preserve">  -</t>
        </is>
      </c>
      <c r="O9" s="5" t="inlineStr">
        <is>
          <t xml:space="preserve">  -</t>
        </is>
      </c>
      <c r="P9" s="5" t="inlineStr">
        <is>
          <t xml:space="preserve">  -</t>
        </is>
      </c>
      <c r="Q9" s="5" t="inlineStr">
        <is>
          <t>009</t>
        </is>
      </c>
      <c r="R9"/>
      <c r="S9" t="n">
        <v>1.0</v>
      </c>
      <c r="T9"/>
      <c r="U9" t="n">
        <v>1.0</v>
      </c>
      <c r="V9"/>
      <c r="W9" t="n">
        <v>0.0</v>
      </c>
      <c r="X9" t="n">
        <v>0.0</v>
      </c>
      <c r="Y9" t="n">
        <v>0.0</v>
      </c>
      <c r="Z9"/>
      <c r="AA9" t="n">
        <v>0.0</v>
      </c>
      <c r="AB9"/>
      <c r="AC9" t="n">
        <v>1.0</v>
      </c>
      <c r="AD9" s="5" t="inlineStr">
        <is>
          <t>pcs</t>
        </is>
      </c>
      <c r="AE9"/>
      <c r="AF9" s="5" t="inlineStr">
        <is>
          <t>pcs</t>
        </is>
      </c>
      <c r="AG9"/>
      <c r="AH9" t="inlineStr">
        <is>
          <t>No</t>
        </is>
      </c>
      <c r="AI9" s="2" t="n">
        <v>45841.40872685185</v>
      </c>
      <c r="AJ9" s="1" t="n">
        <f>DATE(2025,7,3)</f>
        <v>0.0</v>
      </c>
      <c r="AK9" t="inlineStr">
        <is>
          <t>Picking</t>
        </is>
      </c>
      <c r="AL9" s="2" t="n">
        <v>44270.51489583333</v>
      </c>
      <c r="AM9"/>
      <c r="AN9"/>
      <c r="AO9" t="n">
        <v>0.0</v>
      </c>
      <c r="AP9" t="n">
        <v>0.0</v>
      </c>
      <c r="AQ9"/>
      <c r="AR9" t="n">
        <v>149.17317765975895</v>
      </c>
      <c r="AS9" t="n">
        <v>149.17317765975895</v>
      </c>
      <c r="AT9" s="5" t="inlineStr">
        <is>
          <t>AUD</t>
        </is>
      </c>
      <c r="AU9" t="inlineStr">
        <is>
          <t>Company Owned</t>
        </is>
      </c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t="n">
        <v>0.0</v>
      </c>
      <c r="BK9"/>
      <c r="BL9"/>
      <c r="BM9"/>
      <c r="BN9"/>
      <c r="BO9"/>
      <c r="BP9"/>
      <c r="BQ9"/>
      <c r="BR9"/>
      <c r="BS9"/>
      <c r="BT9"/>
      <c r="BU9" t="inlineStr">
        <is>
          <t>Yes</t>
        </is>
      </c>
      <c r="BV9"/>
      <c r="BW9"/>
      <c r="BX9"/>
    </row>
    <row r="10">
      <c r="A10" s="5" t="inlineStr">
        <is>
          <t>SERV</t>
        </is>
      </c>
      <c r="B10" s="5" t="inlineStr">
        <is>
          <t>135907</t>
        </is>
      </c>
      <c r="C10" s="5" t="inlineStr">
        <is>
          <t>Transducer Pressure Wika S/S</t>
        </is>
      </c>
      <c r="D10" s="5" t="inlineStr">
        <is>
          <t>*</t>
        </is>
      </c>
      <c r="E10" s="5" t="inlineStr">
        <is>
          <t>602-060</t>
        </is>
      </c>
      <c r="F10" s="5" t="inlineStr">
        <is>
          <t>*</t>
        </is>
      </c>
      <c r="G10" s="5" t="inlineStr">
        <is>
          <t>*</t>
        </is>
      </c>
      <c r="H10"/>
      <c r="I10"/>
      <c r="J10" s="5" t="inlineStr">
        <is>
          <t>1</t>
        </is>
      </c>
      <c r="K10" s="5" t="inlineStr">
        <is>
          <t>*</t>
        </is>
      </c>
      <c r="L10" t="n">
        <v>0.0</v>
      </c>
      <c r="M10" s="5" t="inlineStr">
        <is>
          <t>602</t>
        </is>
      </c>
      <c r="N10" s="5" t="inlineStr">
        <is>
          <t xml:space="preserve">  -</t>
        </is>
      </c>
      <c r="O10" s="5" t="inlineStr">
        <is>
          <t xml:space="preserve">  -</t>
        </is>
      </c>
      <c r="P10" s="5" t="inlineStr">
        <is>
          <t xml:space="preserve">  -</t>
        </is>
      </c>
      <c r="Q10" s="5" t="inlineStr">
        <is>
          <t>060</t>
        </is>
      </c>
      <c r="R10"/>
      <c r="S10" t="n">
        <v>1.0</v>
      </c>
      <c r="T10"/>
      <c r="U10" t="n">
        <v>1.0</v>
      </c>
      <c r="V10"/>
      <c r="W10" t="n">
        <v>0.0</v>
      </c>
      <c r="X10" t="n">
        <v>0.0</v>
      </c>
      <c r="Y10" t="n">
        <v>0.0</v>
      </c>
      <c r="Z10"/>
      <c r="AA10" t="n">
        <v>0.0</v>
      </c>
      <c r="AB10"/>
      <c r="AC10" t="n">
        <v>1.0</v>
      </c>
      <c r="AD10" s="5" t="inlineStr">
        <is>
          <t>pcs</t>
        </is>
      </c>
      <c r="AE10"/>
      <c r="AF10" s="5" t="inlineStr">
        <is>
          <t>pcs</t>
        </is>
      </c>
      <c r="AG10"/>
      <c r="AH10" t="inlineStr">
        <is>
          <t>No</t>
        </is>
      </c>
      <c r="AI10" s="2" t="n">
        <v>45841.40898148148</v>
      </c>
      <c r="AJ10" s="1" t="n">
        <f>DATE(2024,8,15)</f>
        <v>0.0</v>
      </c>
      <c r="AK10" t="inlineStr">
        <is>
          <t>Picking</t>
        </is>
      </c>
      <c r="AL10" s="2" t="n">
        <v>42683.647986111115</v>
      </c>
      <c r="AM10"/>
      <c r="AN10"/>
      <c r="AO10" t="n">
        <v>0.0</v>
      </c>
      <c r="AP10" t="n">
        <v>0.0</v>
      </c>
      <c r="AQ10"/>
      <c r="AR10" t="n">
        <v>361.9173688362919</v>
      </c>
      <c r="AS10" t="n">
        <v>361.9173688362919</v>
      </c>
      <c r="AT10" s="5" t="inlineStr">
        <is>
          <t>AUD</t>
        </is>
      </c>
      <c r="AU10" t="inlineStr">
        <is>
          <t>Company Owned</t>
        </is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t="n">
        <v>0.0</v>
      </c>
      <c r="BK10"/>
      <c r="BL10"/>
      <c r="BM10"/>
      <c r="BN10"/>
      <c r="BO10"/>
      <c r="BP10"/>
      <c r="BQ10"/>
      <c r="BR10"/>
      <c r="BS10"/>
      <c r="BT10"/>
      <c r="BU10" t="inlineStr">
        <is>
          <t>Yes</t>
        </is>
      </c>
      <c r="BV10"/>
      <c r="BW10"/>
      <c r="BX10"/>
    </row>
    <row r="11">
      <c r="A11" s="5" t="inlineStr">
        <is>
          <t>SERV</t>
        </is>
      </c>
      <c r="B11" s="5" t="inlineStr">
        <is>
          <t>135935</t>
        </is>
      </c>
      <c r="C11" s="5" t="inlineStr">
        <is>
          <t>Socket Contact Female 66101-2</t>
        </is>
      </c>
      <c r="D11" s="5" t="inlineStr">
        <is>
          <t>*</t>
        </is>
      </c>
      <c r="E11" s="5" t="inlineStr">
        <is>
          <t>602-026</t>
        </is>
      </c>
      <c r="F11" s="5" t="inlineStr">
        <is>
          <t>*</t>
        </is>
      </c>
      <c r="G11" s="5" t="inlineStr">
        <is>
          <t>*</t>
        </is>
      </c>
      <c r="H11"/>
      <c r="I11"/>
      <c r="J11" s="5" t="inlineStr">
        <is>
          <t>0</t>
        </is>
      </c>
      <c r="K11" s="5" t="inlineStr">
        <is>
          <t>*</t>
        </is>
      </c>
      <c r="L11" t="n">
        <v>0.0</v>
      </c>
      <c r="M11" s="5" t="inlineStr">
        <is>
          <t>602</t>
        </is>
      </c>
      <c r="N11" s="5" t="inlineStr">
        <is>
          <t xml:space="preserve">  -</t>
        </is>
      </c>
      <c r="O11" s="5" t="inlineStr">
        <is>
          <t xml:space="preserve">  -</t>
        </is>
      </c>
      <c r="P11" s="5" t="inlineStr">
        <is>
          <t xml:space="preserve">  -</t>
        </is>
      </c>
      <c r="Q11" s="5" t="inlineStr">
        <is>
          <t>026</t>
        </is>
      </c>
      <c r="R11"/>
      <c r="S11" t="n">
        <v>58.0</v>
      </c>
      <c r="T11"/>
      <c r="U11" t="n">
        <v>58.0</v>
      </c>
      <c r="V11"/>
      <c r="W11" t="n">
        <v>0.0</v>
      </c>
      <c r="X11" t="n">
        <v>0.0</v>
      </c>
      <c r="Y11" t="n">
        <v>0.0</v>
      </c>
      <c r="Z11"/>
      <c r="AA11" t="n">
        <v>0.0</v>
      </c>
      <c r="AB11"/>
      <c r="AC11" t="n">
        <v>58.0</v>
      </c>
      <c r="AD11" s="5" t="inlineStr">
        <is>
          <t>pcs</t>
        </is>
      </c>
      <c r="AE11"/>
      <c r="AF11" s="5" t="inlineStr">
        <is>
          <t>pcs</t>
        </is>
      </c>
      <c r="AG11"/>
      <c r="AH11" t="inlineStr">
        <is>
          <t>No</t>
        </is>
      </c>
      <c r="AI11" s="2" t="n">
        <v>45841.40877314815</v>
      </c>
      <c r="AJ11" s="1" t="n">
        <f>DATE(2025,7,3)</f>
        <v>0.0</v>
      </c>
      <c r="AK11" t="inlineStr">
        <is>
          <t>Picking</t>
        </is>
      </c>
      <c r="AL11" s="2" t="n">
        <v>41183.438564814816</v>
      </c>
      <c r="AM11"/>
      <c r="AN11"/>
      <c r="AO11" t="n">
        <v>0.0</v>
      </c>
      <c r="AP11" t="n">
        <v>0.0</v>
      </c>
      <c r="AQ11"/>
      <c r="AR11" t="n">
        <v>0.5568593541273148</v>
      </c>
      <c r="AS11" t="n">
        <v>32.297842539384256</v>
      </c>
      <c r="AT11" s="5" t="inlineStr">
        <is>
          <t>AUD</t>
        </is>
      </c>
      <c r="AU11" t="inlineStr">
        <is>
          <t>Company Owned</t>
        </is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t="n">
        <v>0.0</v>
      </c>
      <c r="BK11"/>
      <c r="BL11"/>
      <c r="BM11"/>
      <c r="BN11"/>
      <c r="BO11"/>
      <c r="BP11"/>
      <c r="BQ11"/>
      <c r="BR11"/>
      <c r="BS11"/>
      <c r="BT11"/>
      <c r="BU11" t="inlineStr">
        <is>
          <t>Yes</t>
        </is>
      </c>
      <c r="BV11"/>
      <c r="BW11"/>
      <c r="BX11"/>
    </row>
    <row r="12">
      <c r="A12" s="5" t="inlineStr">
        <is>
          <t>SERV</t>
        </is>
      </c>
      <c r="B12" s="5" t="inlineStr">
        <is>
          <t>135936</t>
        </is>
      </c>
      <c r="C12" s="5" t="inlineStr">
        <is>
          <t>Pin Contact Male 66099-2</t>
        </is>
      </c>
      <c r="D12" s="5" t="inlineStr">
        <is>
          <t>*</t>
        </is>
      </c>
      <c r="E12" s="5" t="inlineStr">
        <is>
          <t>602-026</t>
        </is>
      </c>
      <c r="F12" s="5" t="inlineStr">
        <is>
          <t>*</t>
        </is>
      </c>
      <c r="G12" s="5" t="inlineStr">
        <is>
          <t>*</t>
        </is>
      </c>
      <c r="H12"/>
      <c r="I12"/>
      <c r="J12" s="5" t="inlineStr">
        <is>
          <t>0</t>
        </is>
      </c>
      <c r="K12" s="5" t="inlineStr">
        <is>
          <t>*</t>
        </is>
      </c>
      <c r="L12" t="n">
        <v>0.0</v>
      </c>
      <c r="M12" s="5" t="inlineStr">
        <is>
          <t>602</t>
        </is>
      </c>
      <c r="N12" s="5" t="inlineStr">
        <is>
          <t xml:space="preserve">  -</t>
        </is>
      </c>
      <c r="O12" s="5" t="inlineStr">
        <is>
          <t xml:space="preserve">  -</t>
        </is>
      </c>
      <c r="P12" s="5" t="inlineStr">
        <is>
          <t xml:space="preserve">  -</t>
        </is>
      </c>
      <c r="Q12" s="5" t="inlineStr">
        <is>
          <t>026</t>
        </is>
      </c>
      <c r="R12"/>
      <c r="S12" t="n">
        <v>35.0</v>
      </c>
      <c r="T12"/>
      <c r="U12" t="n">
        <v>35.0</v>
      </c>
      <c r="V12"/>
      <c r="W12" t="n">
        <v>0.0</v>
      </c>
      <c r="X12" t="n">
        <v>0.0</v>
      </c>
      <c r="Y12" t="n">
        <v>0.0</v>
      </c>
      <c r="Z12"/>
      <c r="AA12" t="n">
        <v>0.0</v>
      </c>
      <c r="AB12"/>
      <c r="AC12" t="n">
        <v>35.0</v>
      </c>
      <c r="AD12" s="5" t="inlineStr">
        <is>
          <t>pcs</t>
        </is>
      </c>
      <c r="AE12"/>
      <c r="AF12" s="5" t="inlineStr">
        <is>
          <t>pcs</t>
        </is>
      </c>
      <c r="AG12"/>
      <c r="AH12" t="inlineStr">
        <is>
          <t>No</t>
        </is>
      </c>
      <c r="AI12" s="2" t="n">
        <v>45841.40877314815</v>
      </c>
      <c r="AJ12" s="1" t="n">
        <f>DATE(2025,7,3)</f>
        <v>0.0</v>
      </c>
      <c r="AK12" t="inlineStr">
        <is>
          <t>Picking</t>
        </is>
      </c>
      <c r="AL12" s="2" t="n">
        <v>41183.438576388886</v>
      </c>
      <c r="AM12"/>
      <c r="AN12"/>
      <c r="AO12" t="n">
        <v>0.0</v>
      </c>
      <c r="AP12" t="n">
        <v>0.0</v>
      </c>
      <c r="AQ12"/>
      <c r="AR12" t="n">
        <v>0.5757813265731828</v>
      </c>
      <c r="AS12" t="n">
        <v>20.1523464300614</v>
      </c>
      <c r="AT12" s="5" t="inlineStr">
        <is>
          <t>AUD</t>
        </is>
      </c>
      <c r="AU12" t="inlineStr">
        <is>
          <t>Company Owned</t>
        </is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t="n">
        <v>0.0</v>
      </c>
      <c r="BK12"/>
      <c r="BL12"/>
      <c r="BM12"/>
      <c r="BN12"/>
      <c r="BO12"/>
      <c r="BP12"/>
      <c r="BQ12"/>
      <c r="BR12"/>
      <c r="BS12"/>
      <c r="BT12"/>
      <c r="BU12" t="inlineStr">
        <is>
          <t>Yes</t>
        </is>
      </c>
      <c r="BV12"/>
      <c r="BW12"/>
      <c r="BX12"/>
    </row>
    <row r="13">
      <c r="A13" s="5" t="inlineStr">
        <is>
          <t>SERV</t>
        </is>
      </c>
      <c r="B13" s="5" t="inlineStr">
        <is>
          <t>135947</t>
        </is>
      </c>
      <c r="C13" s="5" t="inlineStr">
        <is>
          <t>Transmitter Rtd Type</t>
        </is>
      </c>
      <c r="D13" s="5" t="inlineStr">
        <is>
          <t>*</t>
        </is>
      </c>
      <c r="E13" s="5" t="inlineStr">
        <is>
          <t>602-004</t>
        </is>
      </c>
      <c r="F13" s="5" t="inlineStr">
        <is>
          <t>*</t>
        </is>
      </c>
      <c r="G13" s="5" t="inlineStr">
        <is>
          <t>*</t>
        </is>
      </c>
      <c r="H13"/>
      <c r="I13"/>
      <c r="J13" s="5" t="inlineStr">
        <is>
          <t>0</t>
        </is>
      </c>
      <c r="K13" s="5" t="inlineStr">
        <is>
          <t>*</t>
        </is>
      </c>
      <c r="L13" t="n">
        <v>0.0</v>
      </c>
      <c r="M13" s="5" t="inlineStr">
        <is>
          <t>602</t>
        </is>
      </c>
      <c r="N13" s="5" t="inlineStr">
        <is>
          <t xml:space="preserve">  -</t>
        </is>
      </c>
      <c r="O13" s="5" t="inlineStr">
        <is>
          <t xml:space="preserve">  -</t>
        </is>
      </c>
      <c r="P13" s="5" t="inlineStr">
        <is>
          <t xml:space="preserve">  -</t>
        </is>
      </c>
      <c r="Q13" s="5" t="inlineStr">
        <is>
          <t>004</t>
        </is>
      </c>
      <c r="R13"/>
      <c r="S13" t="n">
        <v>2.0</v>
      </c>
      <c r="T13"/>
      <c r="U13" t="n">
        <v>2.0</v>
      </c>
      <c r="V13"/>
      <c r="W13" t="n">
        <v>0.0</v>
      </c>
      <c r="X13" t="n">
        <v>0.0</v>
      </c>
      <c r="Y13" t="n">
        <v>0.0</v>
      </c>
      <c r="Z13"/>
      <c r="AA13" t="n">
        <v>0.0</v>
      </c>
      <c r="AB13"/>
      <c r="AC13" t="n">
        <v>2.0</v>
      </c>
      <c r="AD13" s="5" t="inlineStr">
        <is>
          <t>pcs</t>
        </is>
      </c>
      <c r="AE13"/>
      <c r="AF13" s="5" t="inlineStr">
        <is>
          <t>pcs</t>
        </is>
      </c>
      <c r="AG13"/>
      <c r="AH13" t="inlineStr">
        <is>
          <t>No</t>
        </is>
      </c>
      <c r="AI13" s="2" t="n">
        <v>45841.40871527778</v>
      </c>
      <c r="AJ13" s="1" t="n">
        <f>DATE(2025,7,3)</f>
        <v>0.0</v>
      </c>
      <c r="AK13" t="inlineStr">
        <is>
          <t>Picking</t>
        </is>
      </c>
      <c r="AL13" s="2" t="n">
        <v>41183.439733796295</v>
      </c>
      <c r="AM13"/>
      <c r="AN13"/>
      <c r="AO13" t="n">
        <v>0.0</v>
      </c>
      <c r="AP13" t="n">
        <v>0.0</v>
      </c>
      <c r="AQ13"/>
      <c r="AR13" t="n">
        <v>54.64071749585002</v>
      </c>
      <c r="AS13" t="n">
        <v>109.28143499170004</v>
      </c>
      <c r="AT13" s="5" t="inlineStr">
        <is>
          <t>AUD</t>
        </is>
      </c>
      <c r="AU13" t="inlineStr">
        <is>
          <t>Company Owned</t>
        </is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t="n">
        <v>0.0</v>
      </c>
      <c r="BK13"/>
      <c r="BL13"/>
      <c r="BM13"/>
      <c r="BN13"/>
      <c r="BO13"/>
      <c r="BP13"/>
      <c r="BQ13"/>
      <c r="BR13"/>
      <c r="BS13"/>
      <c r="BT13"/>
      <c r="BU13" t="inlineStr">
        <is>
          <t>Yes</t>
        </is>
      </c>
      <c r="BV13"/>
      <c r="BW13"/>
      <c r="BX13"/>
    </row>
    <row r="14">
      <c r="A14" s="5" t="inlineStr">
        <is>
          <t>SERV</t>
        </is>
      </c>
      <c r="B14" s="5" t="inlineStr">
        <is>
          <t>133480</t>
        </is>
      </c>
      <c r="C14" s="5" t="inlineStr">
        <is>
          <t>Switch Pressure Asco Hc20A224</t>
        </is>
      </c>
      <c r="D14" s="5" t="inlineStr">
        <is>
          <t>*</t>
        </is>
      </c>
      <c r="E14" s="5" t="inlineStr">
        <is>
          <t>602-027</t>
        </is>
      </c>
      <c r="F14" s="5" t="inlineStr">
        <is>
          <t>*</t>
        </is>
      </c>
      <c r="G14" s="5" t="inlineStr">
        <is>
          <t>*</t>
        </is>
      </c>
      <c r="H14"/>
      <c r="I14"/>
      <c r="J14" s="5" t="inlineStr">
        <is>
          <t>0</t>
        </is>
      </c>
      <c r="K14" s="5" t="inlineStr">
        <is>
          <t>*</t>
        </is>
      </c>
      <c r="L14" t="n">
        <v>0.0</v>
      </c>
      <c r="M14" s="5" t="inlineStr">
        <is>
          <t>602</t>
        </is>
      </c>
      <c r="N14" s="5" t="inlineStr">
        <is>
          <t xml:space="preserve">  -</t>
        </is>
      </c>
      <c r="O14" s="5" t="inlineStr">
        <is>
          <t xml:space="preserve">  -</t>
        </is>
      </c>
      <c r="P14" s="5" t="inlineStr">
        <is>
          <t xml:space="preserve">  -</t>
        </is>
      </c>
      <c r="Q14" s="5" t="inlineStr">
        <is>
          <t>027</t>
        </is>
      </c>
      <c r="R14"/>
      <c r="S14" t="n">
        <v>0.0</v>
      </c>
      <c r="T14"/>
      <c r="U14" t="n">
        <v>0.0</v>
      </c>
      <c r="V14"/>
      <c r="W14" t="n">
        <v>0.0</v>
      </c>
      <c r="X14" t="n">
        <v>0.0</v>
      </c>
      <c r="Y14" t="n">
        <v>0.0</v>
      </c>
      <c r="Z14"/>
      <c r="AA14" t="n">
        <v>0.0</v>
      </c>
      <c r="AB14"/>
      <c r="AC14" t="n">
        <v>0.0</v>
      </c>
      <c r="AD14" s="5" t="inlineStr">
        <is>
          <t>pcs</t>
        </is>
      </c>
      <c r="AE14"/>
      <c r="AF14" s="5" t="inlineStr">
        <is>
          <t>pcs</t>
        </is>
      </c>
      <c r="AG14"/>
      <c r="AH14" t="inlineStr">
        <is>
          <t>No</t>
        </is>
      </c>
      <c r="AI14" s="2" t="n">
        <v>45986.342199074075</v>
      </c>
      <c r="AJ14" s="1" t="n">
        <f>DATE(2025,7,3)</f>
        <v>0.0</v>
      </c>
      <c r="AK14" t="inlineStr">
        <is>
          <t>Picking</t>
        </is>
      </c>
      <c r="AL14" s="2" t="n">
        <v>43753.30489583333</v>
      </c>
      <c r="AM14"/>
      <c r="AN14"/>
      <c r="AO14" t="n">
        <v>0.0</v>
      </c>
      <c r="AP14" t="n">
        <v>0.0</v>
      </c>
      <c r="AQ14"/>
      <c r="AR14" t="n">
        <v>0.0</v>
      </c>
      <c r="AS14" t="n">
        <v>0.0</v>
      </c>
      <c r="AT14" s="5" t="inlineStr">
        <is>
          <t>AUD</t>
        </is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t="n">
        <v>0.0</v>
      </c>
      <c r="BK14"/>
      <c r="BL14"/>
      <c r="BM14"/>
      <c r="BN14"/>
      <c r="BO14"/>
      <c r="BP14"/>
      <c r="BQ14"/>
      <c r="BR14"/>
      <c r="BS14"/>
      <c r="BT14"/>
      <c r="BU14" t="inlineStr">
        <is>
          <t>Yes</t>
        </is>
      </c>
      <c r="BV14"/>
      <c r="BW14"/>
      <c r="BX14"/>
    </row>
    <row r="15">
      <c r="A15" s="5" t="inlineStr">
        <is>
          <t>SERV</t>
        </is>
      </c>
      <c r="B15" s="5" t="inlineStr">
        <is>
          <t>133482</t>
        </is>
      </c>
      <c r="C15" s="5" t="inlineStr">
        <is>
          <t>Switch Pressure Auto Door</t>
        </is>
      </c>
      <c r="D15" s="5" t="inlineStr">
        <is>
          <t>*</t>
        </is>
      </c>
      <c r="E15" s="5" t="inlineStr">
        <is>
          <t>602-027</t>
        </is>
      </c>
      <c r="F15" s="5" t="inlineStr">
        <is>
          <t>*</t>
        </is>
      </c>
      <c r="G15" s="5" t="inlineStr">
        <is>
          <t>*</t>
        </is>
      </c>
      <c r="H15"/>
      <c r="I15"/>
      <c r="J15" s="5" t="inlineStr">
        <is>
          <t>0</t>
        </is>
      </c>
      <c r="K15" s="5" t="inlineStr">
        <is>
          <t>*</t>
        </is>
      </c>
      <c r="L15" t="n">
        <v>0.0</v>
      </c>
      <c r="M15" s="5" t="inlineStr">
        <is>
          <t>602</t>
        </is>
      </c>
      <c r="N15" s="5" t="inlineStr">
        <is>
          <t xml:space="preserve">  -</t>
        </is>
      </c>
      <c r="O15" s="5" t="inlineStr">
        <is>
          <t xml:space="preserve">  -</t>
        </is>
      </c>
      <c r="P15" s="5" t="inlineStr">
        <is>
          <t xml:space="preserve">  -</t>
        </is>
      </c>
      <c r="Q15" s="5" t="inlineStr">
        <is>
          <t>027</t>
        </is>
      </c>
      <c r="R15"/>
      <c r="S15" t="n">
        <v>1.0</v>
      </c>
      <c r="T15"/>
      <c r="U15" t="n">
        <v>1.0</v>
      </c>
      <c r="V15"/>
      <c r="W15" t="n">
        <v>0.0</v>
      </c>
      <c r="X15" t="n">
        <v>0.0</v>
      </c>
      <c r="Y15" t="n">
        <v>0.0</v>
      </c>
      <c r="Z15"/>
      <c r="AA15" t="n">
        <v>0.0</v>
      </c>
      <c r="AB15"/>
      <c r="AC15" t="n">
        <v>1.0</v>
      </c>
      <c r="AD15" s="5" t="inlineStr">
        <is>
          <t>pcs</t>
        </is>
      </c>
      <c r="AE15"/>
      <c r="AF15" s="5" t="inlineStr">
        <is>
          <t>pcs</t>
        </is>
      </c>
      <c r="AG15"/>
      <c r="AH15" t="inlineStr">
        <is>
          <t>No</t>
        </is>
      </c>
      <c r="AI15" s="2" t="n">
        <v>45841.40877314815</v>
      </c>
      <c r="AJ15" s="1" t="n">
        <f>DATE(2025,7,3)</f>
        <v>0.0</v>
      </c>
      <c r="AK15" t="inlineStr">
        <is>
          <t>Picking</t>
        </is>
      </c>
      <c r="AL15" s="2" t="n">
        <v>44980.4768287037</v>
      </c>
      <c r="AM15"/>
      <c r="AN15"/>
      <c r="AO15" t="n">
        <v>0.0</v>
      </c>
      <c r="AP15" t="n">
        <v>0.0</v>
      </c>
      <c r="AQ15"/>
      <c r="AR15" t="n">
        <v>270.6261864288378</v>
      </c>
      <c r="AS15" t="n">
        <v>270.6261864288378</v>
      </c>
      <c r="AT15" s="5" t="inlineStr">
        <is>
          <t>AUD</t>
        </is>
      </c>
      <c r="AU15" t="inlineStr">
        <is>
          <t>Company Owned</t>
        </is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t="n">
        <v>0.0</v>
      </c>
      <c r="BK15"/>
      <c r="BL15"/>
      <c r="BM15"/>
      <c r="BN15"/>
      <c r="BO15"/>
      <c r="BP15"/>
      <c r="BQ15"/>
      <c r="BR15"/>
      <c r="BS15"/>
      <c r="BT15"/>
      <c r="BU15" t="inlineStr">
        <is>
          <t>Yes</t>
        </is>
      </c>
      <c r="BV15"/>
      <c r="BW15"/>
      <c r="BX15"/>
    </row>
    <row r="16">
      <c r="A16" s="5" t="inlineStr">
        <is>
          <t>SERV</t>
        </is>
      </c>
      <c r="B16" s="5" t="inlineStr">
        <is>
          <t>133561</t>
        </is>
      </c>
      <c r="C16" s="5" t="inlineStr">
        <is>
          <t>Bush Reducing Brass 1 X 3/4</t>
        </is>
      </c>
      <c r="D16" s="5" t="inlineStr">
        <is>
          <t>*</t>
        </is>
      </c>
      <c r="E16" s="5" t="inlineStr">
        <is>
          <t>602-022</t>
        </is>
      </c>
      <c r="F16" s="5" t="inlineStr">
        <is>
          <t>*</t>
        </is>
      </c>
      <c r="G16" s="5" t="inlineStr">
        <is>
          <t>*</t>
        </is>
      </c>
      <c r="H16"/>
      <c r="I16"/>
      <c r="J16" s="5" t="inlineStr">
        <is>
          <t>0</t>
        </is>
      </c>
      <c r="K16" s="5" t="inlineStr">
        <is>
          <t>*</t>
        </is>
      </c>
      <c r="L16" t="n">
        <v>0.0</v>
      </c>
      <c r="M16" s="5" t="inlineStr">
        <is>
          <t>602</t>
        </is>
      </c>
      <c r="N16" s="5" t="inlineStr">
        <is>
          <t xml:space="preserve">  -</t>
        </is>
      </c>
      <c r="O16" s="5" t="inlineStr">
        <is>
          <t xml:space="preserve">  -</t>
        </is>
      </c>
      <c r="P16" s="5" t="inlineStr">
        <is>
          <t xml:space="preserve">  -</t>
        </is>
      </c>
      <c r="Q16" s="5" t="inlineStr">
        <is>
          <t>022</t>
        </is>
      </c>
      <c r="R16"/>
      <c r="S16" t="n">
        <v>1.0</v>
      </c>
      <c r="T16"/>
      <c r="U16" t="n">
        <v>1.0</v>
      </c>
      <c r="V16"/>
      <c r="W16" t="n">
        <v>0.0</v>
      </c>
      <c r="X16" t="n">
        <v>0.0</v>
      </c>
      <c r="Y16" t="n">
        <v>0.0</v>
      </c>
      <c r="Z16"/>
      <c r="AA16" t="n">
        <v>0.0</v>
      </c>
      <c r="AB16"/>
      <c r="AC16" t="n">
        <v>1.0</v>
      </c>
      <c r="AD16" s="5" t="inlineStr">
        <is>
          <t>pcs</t>
        </is>
      </c>
      <c r="AE16"/>
      <c r="AF16" s="5" t="inlineStr">
        <is>
          <t>pcs</t>
        </is>
      </c>
      <c r="AG16"/>
      <c r="AH16" t="inlineStr">
        <is>
          <t>No</t>
        </is>
      </c>
      <c r="AI16" s="2" t="n">
        <v>45841.40875</v>
      </c>
      <c r="AJ16" s="1" t="n">
        <f>DATE(2025,7,3)</f>
        <v>0.0</v>
      </c>
      <c r="AK16" t="inlineStr">
        <is>
          <t>Picking</t>
        </is>
      </c>
      <c r="AL16" s="2" t="n">
        <v>42389.41486111111</v>
      </c>
      <c r="AM16"/>
      <c r="AN16"/>
      <c r="AO16" t="n">
        <v>0.0</v>
      </c>
      <c r="AP16" t="n">
        <v>0.0</v>
      </c>
      <c r="AQ16"/>
      <c r="AR16" t="n">
        <v>3.1537263735098393</v>
      </c>
      <c r="AS16" t="n">
        <v>3.1537263735098393</v>
      </c>
      <c r="AT16" s="5" t="inlineStr">
        <is>
          <t>AUD</t>
        </is>
      </c>
      <c r="AU16" t="inlineStr">
        <is>
          <t>Company Owned</t>
        </is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t="n">
        <v>0.0</v>
      </c>
      <c r="BK16"/>
      <c r="BL16"/>
      <c r="BM16"/>
      <c r="BN16"/>
      <c r="BO16"/>
      <c r="BP16"/>
      <c r="BQ16"/>
      <c r="BR16"/>
      <c r="BS16"/>
      <c r="BT16"/>
      <c r="BU16" t="inlineStr">
        <is>
          <t>Yes</t>
        </is>
      </c>
      <c r="BV16"/>
      <c r="BW16"/>
      <c r="BX16"/>
    </row>
    <row r="17">
      <c r="A17" s="5" t="inlineStr">
        <is>
          <t>SERV</t>
        </is>
      </c>
      <c r="B17" s="5" t="inlineStr">
        <is>
          <t>133628</t>
        </is>
      </c>
      <c r="C17" s="5" t="inlineStr">
        <is>
          <t>Piston BR 1/2 Ball Float Valve</t>
        </is>
      </c>
      <c r="D17" s="5" t="inlineStr">
        <is>
          <t>*</t>
        </is>
      </c>
      <c r="E17" s="5" t="inlineStr">
        <is>
          <t>602-011</t>
        </is>
      </c>
      <c r="F17" s="5" t="inlineStr">
        <is>
          <t>*</t>
        </is>
      </c>
      <c r="G17" s="5" t="inlineStr">
        <is>
          <t>*</t>
        </is>
      </c>
      <c r="H17"/>
      <c r="I17"/>
      <c r="J17" s="5" t="inlineStr">
        <is>
          <t>0</t>
        </is>
      </c>
      <c r="K17" s="5" t="inlineStr">
        <is>
          <t>*</t>
        </is>
      </c>
      <c r="L17" t="n">
        <v>0.0</v>
      </c>
      <c r="M17" s="5" t="inlineStr">
        <is>
          <t>602</t>
        </is>
      </c>
      <c r="N17" s="5" t="inlineStr">
        <is>
          <t xml:space="preserve">  -</t>
        </is>
      </c>
      <c r="O17" s="5" t="inlineStr">
        <is>
          <t xml:space="preserve">  -</t>
        </is>
      </c>
      <c r="P17" s="5" t="inlineStr">
        <is>
          <t xml:space="preserve">  -</t>
        </is>
      </c>
      <c r="Q17" s="5" t="inlineStr">
        <is>
          <t>011</t>
        </is>
      </c>
      <c r="R17"/>
      <c r="S17" t="n">
        <v>1.0</v>
      </c>
      <c r="T17"/>
      <c r="U17" t="n">
        <v>1.0</v>
      </c>
      <c r="V17"/>
      <c r="W17" t="n">
        <v>0.0</v>
      </c>
      <c r="X17" t="n">
        <v>0.0</v>
      </c>
      <c r="Y17" t="n">
        <v>0.0</v>
      </c>
      <c r="Z17"/>
      <c r="AA17" t="n">
        <v>0.0</v>
      </c>
      <c r="AB17"/>
      <c r="AC17" t="n">
        <v>1.0</v>
      </c>
      <c r="AD17" s="5" t="inlineStr">
        <is>
          <t>pcs</t>
        </is>
      </c>
      <c r="AE17"/>
      <c r="AF17" s="5" t="inlineStr">
        <is>
          <t>pcs</t>
        </is>
      </c>
      <c r="AG17"/>
      <c r="AH17" t="inlineStr">
        <is>
          <t>No</t>
        </is>
      </c>
      <c r="AI17" s="2" t="n">
        <v>45841.408738425926</v>
      </c>
      <c r="AJ17" s="1" t="n">
        <f>DATE(2025,7,3)</f>
        <v>0.0</v>
      </c>
      <c r="AK17" t="inlineStr">
        <is>
          <t>Picking</t>
        </is>
      </c>
      <c r="AL17" s="2" t="n">
        <v>44336.59307870371</v>
      </c>
      <c r="AM17"/>
      <c r="AN17"/>
      <c r="AO17" t="n">
        <v>0.0</v>
      </c>
      <c r="AP17" t="n">
        <v>0.0</v>
      </c>
      <c r="AQ17"/>
      <c r="AR17" t="n">
        <v>0.01</v>
      </c>
      <c r="AS17" t="n">
        <v>0.01</v>
      </c>
      <c r="AT17" s="5" t="inlineStr">
        <is>
          <t>AUD</t>
        </is>
      </c>
      <c r="AU17" t="inlineStr">
        <is>
          <t>Company Owned</t>
        </is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t="n">
        <v>0.0</v>
      </c>
      <c r="BK17"/>
      <c r="BL17"/>
      <c r="BM17"/>
      <c r="BN17"/>
      <c r="BO17"/>
      <c r="BP17"/>
      <c r="BQ17"/>
      <c r="BR17"/>
      <c r="BS17"/>
      <c r="BT17"/>
      <c r="BU17" t="inlineStr">
        <is>
          <t>Yes</t>
        </is>
      </c>
      <c r="BV17"/>
      <c r="BW17"/>
      <c r="BX17"/>
    </row>
    <row r="18">
      <c r="A18" s="5" t="inlineStr">
        <is>
          <t>SERV</t>
        </is>
      </c>
      <c r="B18" s="5" t="inlineStr">
        <is>
          <t>134560</t>
        </is>
      </c>
      <c r="C18" s="5" t="inlineStr">
        <is>
          <t>Cover M/Switch PVC</t>
        </is>
      </c>
      <c r="D18" s="5" t="inlineStr">
        <is>
          <t>*</t>
        </is>
      </c>
      <c r="E18" s="5" t="inlineStr">
        <is>
          <t>602-003</t>
        </is>
      </c>
      <c r="F18" s="5" t="inlineStr">
        <is>
          <t>*</t>
        </is>
      </c>
      <c r="G18" s="5" t="inlineStr">
        <is>
          <t>*</t>
        </is>
      </c>
      <c r="H18"/>
      <c r="I18"/>
      <c r="J18" s="5" t="inlineStr">
        <is>
          <t>0</t>
        </is>
      </c>
      <c r="K18" s="5" t="inlineStr">
        <is>
          <t>*</t>
        </is>
      </c>
      <c r="L18" t="n">
        <v>0.0</v>
      </c>
      <c r="M18" s="5" t="inlineStr">
        <is>
          <t>602</t>
        </is>
      </c>
      <c r="N18" s="5" t="inlineStr">
        <is>
          <t xml:space="preserve">  -</t>
        </is>
      </c>
      <c r="O18" s="5" t="inlineStr">
        <is>
          <t xml:space="preserve">  -</t>
        </is>
      </c>
      <c r="P18" s="5" t="inlineStr">
        <is>
          <t xml:space="preserve">  -</t>
        </is>
      </c>
      <c r="Q18" s="5" t="inlineStr">
        <is>
          <t>003</t>
        </is>
      </c>
      <c r="R18"/>
      <c r="S18" t="n">
        <v>8.0</v>
      </c>
      <c r="T18"/>
      <c r="U18" t="n">
        <v>8.0</v>
      </c>
      <c r="V18"/>
      <c r="W18" t="n">
        <v>0.0</v>
      </c>
      <c r="X18" t="n">
        <v>0.0</v>
      </c>
      <c r="Y18" t="n">
        <v>0.0</v>
      </c>
      <c r="Z18"/>
      <c r="AA18" t="n">
        <v>0.0</v>
      </c>
      <c r="AB18"/>
      <c r="AC18" t="n">
        <v>8.0</v>
      </c>
      <c r="AD18" s="5" t="inlineStr">
        <is>
          <t>pcs</t>
        </is>
      </c>
      <c r="AE18"/>
      <c r="AF18" s="5" t="inlineStr">
        <is>
          <t>pcs</t>
        </is>
      </c>
      <c r="AG18"/>
      <c r="AH18" t="inlineStr">
        <is>
          <t>No</t>
        </is>
      </c>
      <c r="AI18" s="2" t="n">
        <v>45841.40871527778</v>
      </c>
      <c r="AJ18" s="1" t="n">
        <f>DATE(2025,7,3)</f>
        <v>0.0</v>
      </c>
      <c r="AK18" t="inlineStr">
        <is>
          <t>Picking</t>
        </is>
      </c>
      <c r="AL18" s="2" t="n">
        <v>41183.4390162037</v>
      </c>
      <c r="AM18"/>
      <c r="AN18"/>
      <c r="AO18" t="n">
        <v>0.0</v>
      </c>
      <c r="AP18" t="n">
        <v>0.0</v>
      </c>
      <c r="AQ18"/>
      <c r="AR18" t="n">
        <v>2.0979974553103666</v>
      </c>
      <c r="AS18" t="n">
        <v>16.783979642482933</v>
      </c>
      <c r="AT18" s="5" t="inlineStr">
        <is>
          <t>AUD</t>
        </is>
      </c>
      <c r="AU18" t="inlineStr">
        <is>
          <t>Company Owned</t>
        </is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t="n">
        <v>0.0</v>
      </c>
      <c r="BK18"/>
      <c r="BL18"/>
      <c r="BM18"/>
      <c r="BN18"/>
      <c r="BO18"/>
      <c r="BP18"/>
      <c r="BQ18"/>
      <c r="BR18"/>
      <c r="BS18"/>
      <c r="BT18"/>
      <c r="BU18" t="inlineStr">
        <is>
          <t>Yes</t>
        </is>
      </c>
      <c r="BV18"/>
      <c r="BW18"/>
      <c r="BX18"/>
    </row>
    <row r="19">
      <c r="A19" s="5" t="inlineStr">
        <is>
          <t>SERV</t>
        </is>
      </c>
      <c r="B19" s="5" t="inlineStr">
        <is>
          <t>134752</t>
        </is>
      </c>
      <c r="C19" s="5" t="inlineStr">
        <is>
          <t>Thermocouple Tm Et 310K</t>
        </is>
      </c>
      <c r="D19" s="5" t="inlineStr">
        <is>
          <t>*</t>
        </is>
      </c>
      <c r="E19" s="5" t="inlineStr">
        <is>
          <t>602-025</t>
        </is>
      </c>
      <c r="F19" s="5" t="inlineStr">
        <is>
          <t>*</t>
        </is>
      </c>
      <c r="G19" s="5" t="inlineStr">
        <is>
          <t>*</t>
        </is>
      </c>
      <c r="H19"/>
      <c r="I19"/>
      <c r="J19" s="5" t="inlineStr">
        <is>
          <t>0</t>
        </is>
      </c>
      <c r="K19" s="5" t="inlineStr">
        <is>
          <t>*</t>
        </is>
      </c>
      <c r="L19" t="n">
        <v>0.0</v>
      </c>
      <c r="M19" s="5" t="inlineStr">
        <is>
          <t>602</t>
        </is>
      </c>
      <c r="N19" s="5" t="inlineStr">
        <is>
          <t xml:space="preserve">  -</t>
        </is>
      </c>
      <c r="O19" s="5" t="inlineStr">
        <is>
          <t xml:space="preserve">  -</t>
        </is>
      </c>
      <c r="P19" s="5" t="inlineStr">
        <is>
          <t xml:space="preserve">  -</t>
        </is>
      </c>
      <c r="Q19" s="5" t="inlineStr">
        <is>
          <t>025</t>
        </is>
      </c>
      <c r="R19"/>
      <c r="S19" t="n">
        <v>1.0</v>
      </c>
      <c r="T19"/>
      <c r="U19" t="n">
        <v>1.0</v>
      </c>
      <c r="V19"/>
      <c r="W19" t="n">
        <v>0.0</v>
      </c>
      <c r="X19" t="n">
        <v>0.0</v>
      </c>
      <c r="Y19" t="n">
        <v>0.0</v>
      </c>
      <c r="Z19"/>
      <c r="AA19" t="n">
        <v>0.0</v>
      </c>
      <c r="AB19"/>
      <c r="AC19" t="n">
        <v>1.0</v>
      </c>
      <c r="AD19" s="5" t="inlineStr">
        <is>
          <t>pcs</t>
        </is>
      </c>
      <c r="AE19"/>
      <c r="AF19" s="5" t="inlineStr">
        <is>
          <t>pcs</t>
        </is>
      </c>
      <c r="AG19"/>
      <c r="AH19" t="inlineStr">
        <is>
          <t>No</t>
        </is>
      </c>
      <c r="AI19" s="2" t="n">
        <v>45841.40877314815</v>
      </c>
      <c r="AJ19" s="1" t="n">
        <f>DATE(2025,7,3)</f>
        <v>0.0</v>
      </c>
      <c r="AK19" t="inlineStr">
        <is>
          <t>Picking</t>
        </is>
      </c>
      <c r="AL19" s="2" t="n">
        <v>44336.59322916667</v>
      </c>
      <c r="AM19"/>
      <c r="AN19"/>
      <c r="AO19" t="n">
        <v>0.0</v>
      </c>
      <c r="AP19" t="n">
        <v>0.0</v>
      </c>
      <c r="AQ19"/>
      <c r="AR19" t="n">
        <v>0.01</v>
      </c>
      <c r="AS19" t="n">
        <v>0.01</v>
      </c>
      <c r="AT19" s="5" t="inlineStr">
        <is>
          <t>AUD</t>
        </is>
      </c>
      <c r="AU19" t="inlineStr">
        <is>
          <t>Company Owned</t>
        </is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t="n">
        <v>0.0</v>
      </c>
      <c r="BK19"/>
      <c r="BL19"/>
      <c r="BM19"/>
      <c r="BN19"/>
      <c r="BO19"/>
      <c r="BP19"/>
      <c r="BQ19"/>
      <c r="BR19"/>
      <c r="BS19"/>
      <c r="BT19"/>
      <c r="BU19" t="inlineStr">
        <is>
          <t>Yes</t>
        </is>
      </c>
      <c r="BV19"/>
      <c r="BW19"/>
      <c r="BX19"/>
    </row>
    <row r="20">
      <c r="A20" s="5" t="inlineStr">
        <is>
          <t>SERV</t>
        </is>
      </c>
      <c r="B20" s="5" t="inlineStr">
        <is>
          <t>134849</t>
        </is>
      </c>
      <c r="C20" s="5" t="inlineStr">
        <is>
          <t>Valve Float Watermark 1/2 with 4" PVC Cold Water Ball (Black)</t>
        </is>
      </c>
      <c r="D20" s="5" t="inlineStr">
        <is>
          <t>*</t>
        </is>
      </c>
      <c r="E20" s="5" t="inlineStr">
        <is>
          <t>602-011</t>
        </is>
      </c>
      <c r="F20" s="5" t="inlineStr">
        <is>
          <t>*</t>
        </is>
      </c>
      <c r="G20" s="5" t="inlineStr">
        <is>
          <t>*</t>
        </is>
      </c>
      <c r="H20"/>
      <c r="I20"/>
      <c r="J20" s="5" t="inlineStr">
        <is>
          <t>0</t>
        </is>
      </c>
      <c r="K20" s="5" t="inlineStr">
        <is>
          <t>*</t>
        </is>
      </c>
      <c r="L20" t="n">
        <v>0.0</v>
      </c>
      <c r="M20" s="5" t="inlineStr">
        <is>
          <t>602</t>
        </is>
      </c>
      <c r="N20" s="5" t="inlineStr">
        <is>
          <t xml:space="preserve">  -</t>
        </is>
      </c>
      <c r="O20" s="5" t="inlineStr">
        <is>
          <t xml:space="preserve">  -</t>
        </is>
      </c>
      <c r="P20" s="5" t="inlineStr">
        <is>
          <t xml:space="preserve">  -</t>
        </is>
      </c>
      <c r="Q20" s="5" t="inlineStr">
        <is>
          <t>011</t>
        </is>
      </c>
      <c r="R20"/>
      <c r="S20" t="n">
        <v>1.0</v>
      </c>
      <c r="T20"/>
      <c r="U20" t="n">
        <v>1.0</v>
      </c>
      <c r="V20"/>
      <c r="W20" t="n">
        <v>0.0</v>
      </c>
      <c r="X20" t="n">
        <v>0.0</v>
      </c>
      <c r="Y20" t="n">
        <v>0.0</v>
      </c>
      <c r="Z20"/>
      <c r="AA20" t="n">
        <v>0.0</v>
      </c>
      <c r="AB20"/>
      <c r="AC20" t="n">
        <v>1.0</v>
      </c>
      <c r="AD20" s="5" t="inlineStr">
        <is>
          <t>pcs</t>
        </is>
      </c>
      <c r="AE20"/>
      <c r="AF20" s="5" t="inlineStr">
        <is>
          <t>pcs</t>
        </is>
      </c>
      <c r="AG20"/>
      <c r="AH20" t="inlineStr">
        <is>
          <t>No</t>
        </is>
      </c>
      <c r="AI20" s="2" t="n">
        <v>45881.53803240741</v>
      </c>
      <c r="AJ20" s="1" t="n">
        <f>DATE(2025,7,3)</f>
        <v>0.0</v>
      </c>
      <c r="AK20" t="inlineStr">
        <is>
          <t>Picking</t>
        </is>
      </c>
      <c r="AL20" s="2" t="n">
        <v>45798.315833333334</v>
      </c>
      <c r="AM20"/>
      <c r="AN20"/>
      <c r="AO20" t="n">
        <v>0.0</v>
      </c>
      <c r="AP20" t="n">
        <v>-1.0</v>
      </c>
      <c r="AQ20"/>
      <c r="AR20" t="n">
        <v>48.030019262036056</v>
      </c>
      <c r="AS20" t="n">
        <v>48.030019262036056</v>
      </c>
      <c r="AT20" s="5" t="inlineStr">
        <is>
          <t>AUD</t>
        </is>
      </c>
      <c r="AU20" t="inlineStr">
        <is>
          <t>Company Owned</t>
        </is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t="n">
        <v>0.0</v>
      </c>
      <c r="BK20"/>
      <c r="BL20"/>
      <c r="BM20"/>
      <c r="BN20"/>
      <c r="BO20"/>
      <c r="BP20"/>
      <c r="BQ20"/>
      <c r="BR20"/>
      <c r="BS20"/>
      <c r="BT20"/>
      <c r="BU20" t="inlineStr">
        <is>
          <t>Yes</t>
        </is>
      </c>
      <c r="BV20"/>
      <c r="BW20"/>
      <c r="BX20"/>
    </row>
    <row r="21">
      <c r="A21" s="5" t="inlineStr">
        <is>
          <t>SERV</t>
        </is>
      </c>
      <c r="B21" s="5" t="inlineStr">
        <is>
          <t>134877</t>
        </is>
      </c>
      <c r="C21" s="5" t="inlineStr">
        <is>
          <t>Thermostat E.G.O. 30 - 110 deg C</t>
        </is>
      </c>
      <c r="D21" s="5" t="inlineStr">
        <is>
          <t>*</t>
        </is>
      </c>
      <c r="E21" s="5" t="inlineStr">
        <is>
          <t>602-001</t>
        </is>
      </c>
      <c r="F21" s="5" t="inlineStr">
        <is>
          <t>*</t>
        </is>
      </c>
      <c r="G21" s="5" t="inlineStr">
        <is>
          <t>*</t>
        </is>
      </c>
      <c r="H21"/>
      <c r="I21"/>
      <c r="J21" s="5" t="inlineStr">
        <is>
          <t>0</t>
        </is>
      </c>
      <c r="K21" s="5" t="inlineStr">
        <is>
          <t>*</t>
        </is>
      </c>
      <c r="L21" t="n">
        <v>0.0</v>
      </c>
      <c r="M21" s="5" t="inlineStr">
        <is>
          <t>602</t>
        </is>
      </c>
      <c r="N21" s="5" t="inlineStr">
        <is>
          <t xml:space="preserve">  -</t>
        </is>
      </c>
      <c r="O21" s="5" t="inlineStr">
        <is>
          <t xml:space="preserve">  -</t>
        </is>
      </c>
      <c r="P21" s="5" t="inlineStr">
        <is>
          <t xml:space="preserve">  -</t>
        </is>
      </c>
      <c r="Q21" s="5" t="inlineStr">
        <is>
          <t>001</t>
        </is>
      </c>
      <c r="R21"/>
      <c r="S21" t="n">
        <v>1.0</v>
      </c>
      <c r="T21"/>
      <c r="U21" t="n">
        <v>1.0</v>
      </c>
      <c r="V21"/>
      <c r="W21" t="n">
        <v>0.0</v>
      </c>
      <c r="X21" t="n">
        <v>0.0</v>
      </c>
      <c r="Y21" t="n">
        <v>0.0</v>
      </c>
      <c r="Z21"/>
      <c r="AA21" t="n">
        <v>0.0</v>
      </c>
      <c r="AB21"/>
      <c r="AC21" t="n">
        <v>1.0</v>
      </c>
      <c r="AD21" s="5" t="inlineStr">
        <is>
          <t>pcs</t>
        </is>
      </c>
      <c r="AE21"/>
      <c r="AF21" s="5" t="inlineStr">
        <is>
          <t>pcs</t>
        </is>
      </c>
      <c r="AG21"/>
      <c r="AH21" t="inlineStr">
        <is>
          <t>No</t>
        </is>
      </c>
      <c r="AI21" s="2" t="n">
        <v>45841.4087037037</v>
      </c>
      <c r="AJ21" s="1" t="n">
        <f>DATE(2025,7,3)</f>
        <v>0.0</v>
      </c>
      <c r="AK21" t="inlineStr">
        <is>
          <t>Picking</t>
        </is>
      </c>
      <c r="AL21" s="2" t="n">
        <v>41183.43819444445</v>
      </c>
      <c r="AM21"/>
      <c r="AN21"/>
      <c r="AO21" t="n">
        <v>0.0</v>
      </c>
      <c r="AP21" t="n">
        <v>0.0</v>
      </c>
      <c r="AQ21"/>
      <c r="AR21" t="n">
        <v>46.82905829321348</v>
      </c>
      <c r="AS21" t="n">
        <v>46.82905829321348</v>
      </c>
      <c r="AT21" s="5" t="inlineStr">
        <is>
          <t>AUD</t>
        </is>
      </c>
      <c r="AU21" t="inlineStr">
        <is>
          <t>Company Owned</t>
        </is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t="n">
        <v>0.0</v>
      </c>
      <c r="BK21"/>
      <c r="BL21"/>
      <c r="BM21"/>
      <c r="BN21"/>
      <c r="BO21"/>
      <c r="BP21"/>
      <c r="BQ21"/>
      <c r="BR21"/>
      <c r="BS21"/>
      <c r="BT21"/>
      <c r="BU21" t="inlineStr">
        <is>
          <t>Yes</t>
        </is>
      </c>
      <c r="BV21"/>
      <c r="BW21"/>
      <c r="BX21"/>
    </row>
    <row r="22">
      <c r="A22" s="5" t="inlineStr">
        <is>
          <t>SERV</t>
        </is>
      </c>
      <c r="B22" s="5" t="inlineStr">
        <is>
          <t>135005</t>
        </is>
      </c>
      <c r="C22" s="5" t="inlineStr">
        <is>
          <t>Fan Compact Axial Controls</t>
        </is>
      </c>
      <c r="D22" s="5" t="inlineStr">
        <is>
          <t>*</t>
        </is>
      </c>
      <c r="E22" s="5" t="inlineStr">
        <is>
          <t>602-014</t>
        </is>
      </c>
      <c r="F22" s="5" t="inlineStr">
        <is>
          <t>*</t>
        </is>
      </c>
      <c r="G22" s="5" t="inlineStr">
        <is>
          <t>*</t>
        </is>
      </c>
      <c r="H22"/>
      <c r="I22"/>
      <c r="J22" s="5" t="inlineStr">
        <is>
          <t>0</t>
        </is>
      </c>
      <c r="K22" s="5" t="inlineStr">
        <is>
          <t>*</t>
        </is>
      </c>
      <c r="L22" t="n">
        <v>0.0</v>
      </c>
      <c r="M22" s="5" t="inlineStr">
        <is>
          <t>602</t>
        </is>
      </c>
      <c r="N22" s="5" t="inlineStr">
        <is>
          <t xml:space="preserve">  -</t>
        </is>
      </c>
      <c r="O22" s="5" t="inlineStr">
        <is>
          <t xml:space="preserve">  -</t>
        </is>
      </c>
      <c r="P22" s="5" t="inlineStr">
        <is>
          <t xml:space="preserve">  -</t>
        </is>
      </c>
      <c r="Q22" s="5" t="inlineStr">
        <is>
          <t>014</t>
        </is>
      </c>
      <c r="R22"/>
      <c r="S22" t="n">
        <v>1.0</v>
      </c>
      <c r="T22"/>
      <c r="U22" t="n">
        <v>1.0</v>
      </c>
      <c r="V22"/>
      <c r="W22" t="n">
        <v>0.0</v>
      </c>
      <c r="X22" t="n">
        <v>0.0</v>
      </c>
      <c r="Y22" t="n">
        <v>0.0</v>
      </c>
      <c r="Z22"/>
      <c r="AA22" t="n">
        <v>0.0</v>
      </c>
      <c r="AB22"/>
      <c r="AC22" t="n">
        <v>1.0</v>
      </c>
      <c r="AD22" s="5" t="inlineStr">
        <is>
          <t>pcs</t>
        </is>
      </c>
      <c r="AE22"/>
      <c r="AF22" s="5" t="inlineStr">
        <is>
          <t>pcs</t>
        </is>
      </c>
      <c r="AG22"/>
      <c r="AH22" t="inlineStr">
        <is>
          <t>No</t>
        </is>
      </c>
      <c r="AI22" s="2" t="n">
        <v>45841.408738425926</v>
      </c>
      <c r="AJ22" s="1" t="n">
        <f>DATE(2025,7,3)</f>
        <v>0.0</v>
      </c>
      <c r="AK22" t="inlineStr">
        <is>
          <t>Picking</t>
        </is>
      </c>
      <c r="AL22" s="2" t="n">
        <v>41183.43822916667</v>
      </c>
      <c r="AM22"/>
      <c r="AN22"/>
      <c r="AO22" t="n">
        <v>0.0</v>
      </c>
      <c r="AP22" t="n">
        <v>0.0</v>
      </c>
      <c r="AQ22"/>
      <c r="AR22" t="n">
        <v>77.5125</v>
      </c>
      <c r="AS22" t="n">
        <v>77.5125</v>
      </c>
      <c r="AT22" s="5" t="inlineStr">
        <is>
          <t>AUD</t>
        </is>
      </c>
      <c r="AU22" t="inlineStr">
        <is>
          <t>Company Owned</t>
        </is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t="n">
        <v>0.0</v>
      </c>
      <c r="BK22"/>
      <c r="BL22"/>
      <c r="BM22"/>
      <c r="BN22"/>
      <c r="BO22"/>
      <c r="BP22"/>
      <c r="BQ22"/>
      <c r="BR22"/>
      <c r="BS22"/>
      <c r="BT22"/>
      <c r="BU22" t="inlineStr">
        <is>
          <t>Yes</t>
        </is>
      </c>
      <c r="BV22"/>
      <c r="BW22"/>
      <c r="BX22"/>
    </row>
    <row r="23">
      <c r="A23" s="5" t="inlineStr">
        <is>
          <t>SERV</t>
        </is>
      </c>
      <c r="B23" s="5" t="inlineStr">
        <is>
          <t>135122</t>
        </is>
      </c>
      <c r="C23" s="5" t="inlineStr">
        <is>
          <t>Actuator Zaq-2 Auxillary</t>
        </is>
      </c>
      <c r="D23" s="5" t="inlineStr">
        <is>
          <t>*</t>
        </is>
      </c>
      <c r="E23" s="5" t="inlineStr">
        <is>
          <t>602-003</t>
        </is>
      </c>
      <c r="F23" s="5" t="inlineStr">
        <is>
          <t>*</t>
        </is>
      </c>
      <c r="G23" s="5" t="inlineStr">
        <is>
          <t>*</t>
        </is>
      </c>
      <c r="H23"/>
      <c r="I23"/>
      <c r="J23" s="5" t="inlineStr">
        <is>
          <t>0</t>
        </is>
      </c>
      <c r="K23" s="5" t="inlineStr">
        <is>
          <t>*</t>
        </is>
      </c>
      <c r="L23" t="n">
        <v>0.0</v>
      </c>
      <c r="M23" s="5" t="inlineStr">
        <is>
          <t>602</t>
        </is>
      </c>
      <c r="N23" s="5" t="inlineStr">
        <is>
          <t xml:space="preserve">  -</t>
        </is>
      </c>
      <c r="O23" s="5" t="inlineStr">
        <is>
          <t xml:space="preserve">  -</t>
        </is>
      </c>
      <c r="P23" s="5" t="inlineStr">
        <is>
          <t xml:space="preserve">  -</t>
        </is>
      </c>
      <c r="Q23" s="5" t="inlineStr">
        <is>
          <t>003</t>
        </is>
      </c>
      <c r="R23"/>
      <c r="S23" t="n">
        <v>2.0</v>
      </c>
      <c r="T23"/>
      <c r="U23" t="n">
        <v>2.0</v>
      </c>
      <c r="V23"/>
      <c r="W23" t="n">
        <v>0.0</v>
      </c>
      <c r="X23" t="n">
        <v>0.0</v>
      </c>
      <c r="Y23" t="n">
        <v>0.0</v>
      </c>
      <c r="Z23"/>
      <c r="AA23" t="n">
        <v>0.0</v>
      </c>
      <c r="AB23"/>
      <c r="AC23" t="n">
        <v>2.0</v>
      </c>
      <c r="AD23" s="5" t="inlineStr">
        <is>
          <t>pcs</t>
        </is>
      </c>
      <c r="AE23"/>
      <c r="AF23" s="5" t="inlineStr">
        <is>
          <t>pcs</t>
        </is>
      </c>
      <c r="AG23"/>
      <c r="AH23" t="inlineStr">
        <is>
          <t>No</t>
        </is>
      </c>
      <c r="AI23" s="2" t="n">
        <v>45841.40871527778</v>
      </c>
      <c r="AJ23" s="1" t="n">
        <f>DATE(2025,7,3)</f>
        <v>0.0</v>
      </c>
      <c r="AK23" t="inlineStr">
        <is>
          <t>Picking</t>
        </is>
      </c>
      <c r="AL23" s="2" t="n">
        <v>41183.43828703704</v>
      </c>
      <c r="AM23"/>
      <c r="AN23"/>
      <c r="AO23" t="n">
        <v>0.0</v>
      </c>
      <c r="AP23" t="n">
        <v>0.0</v>
      </c>
      <c r="AQ23"/>
      <c r="AR23" t="n">
        <v>37.74617232839369</v>
      </c>
      <c r="AS23" t="n">
        <v>75.49234465678738</v>
      </c>
      <c r="AT23" s="5" t="inlineStr">
        <is>
          <t>AUD</t>
        </is>
      </c>
      <c r="AU23" t="inlineStr">
        <is>
          <t>Company Owned</t>
        </is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t="n">
        <v>0.0</v>
      </c>
      <c r="BK23"/>
      <c r="BL23"/>
      <c r="BM23"/>
      <c r="BN23"/>
      <c r="BO23"/>
      <c r="BP23"/>
      <c r="BQ23"/>
      <c r="BR23"/>
      <c r="BS23"/>
      <c r="BT23"/>
      <c r="BU23" t="inlineStr">
        <is>
          <t>Yes</t>
        </is>
      </c>
      <c r="BV23"/>
      <c r="BW23"/>
      <c r="BX23"/>
    </row>
    <row r="24">
      <c r="A24" s="5" t="inlineStr">
        <is>
          <t>SERV</t>
        </is>
      </c>
      <c r="B24" s="5" t="inlineStr">
        <is>
          <t>135766</t>
        </is>
      </c>
      <c r="C24" s="5" t="inlineStr">
        <is>
          <t>Gasket For Mobrey Float Contro</t>
        </is>
      </c>
      <c r="D24" s="5" t="inlineStr">
        <is>
          <t>*</t>
        </is>
      </c>
      <c r="E24" s="5" t="inlineStr">
        <is>
          <t>602-029</t>
        </is>
      </c>
      <c r="F24" s="5" t="inlineStr">
        <is>
          <t>*</t>
        </is>
      </c>
      <c r="G24" s="5" t="inlineStr">
        <is>
          <t>*</t>
        </is>
      </c>
      <c r="H24"/>
      <c r="I24"/>
      <c r="J24" s="5" t="inlineStr">
        <is>
          <t>0</t>
        </is>
      </c>
      <c r="K24" s="5" t="inlineStr">
        <is>
          <t>*</t>
        </is>
      </c>
      <c r="L24" t="n">
        <v>0.0</v>
      </c>
      <c r="M24" s="5" t="inlineStr">
        <is>
          <t>602</t>
        </is>
      </c>
      <c r="N24" s="5" t="inlineStr">
        <is>
          <t xml:space="preserve">  -</t>
        </is>
      </c>
      <c r="O24" s="5" t="inlineStr">
        <is>
          <t xml:space="preserve">  -</t>
        </is>
      </c>
      <c r="P24" s="5" t="inlineStr">
        <is>
          <t xml:space="preserve">  -</t>
        </is>
      </c>
      <c r="Q24" s="5" t="inlineStr">
        <is>
          <t>029</t>
        </is>
      </c>
      <c r="R24"/>
      <c r="S24" t="n">
        <v>0.0</v>
      </c>
      <c r="T24"/>
      <c r="U24" t="n">
        <v>0.0</v>
      </c>
      <c r="V24"/>
      <c r="W24" t="n">
        <v>0.0</v>
      </c>
      <c r="X24" t="n">
        <v>0.0</v>
      </c>
      <c r="Y24" t="n">
        <v>0.0</v>
      </c>
      <c r="Z24"/>
      <c r="AA24" t="n">
        <v>0.0</v>
      </c>
      <c r="AB24"/>
      <c r="AC24" t="n">
        <v>0.0</v>
      </c>
      <c r="AD24" s="5" t="inlineStr">
        <is>
          <t>pcs</t>
        </is>
      </c>
      <c r="AE24"/>
      <c r="AF24" s="5" t="inlineStr">
        <is>
          <t>pcs</t>
        </is>
      </c>
      <c r="AG24"/>
      <c r="AH24" t="inlineStr">
        <is>
          <t>No</t>
        </is>
      </c>
      <c r="AI24" s="2" t="n">
        <v>46022.3491087963</v>
      </c>
      <c r="AJ24" s="1" t="n">
        <f>DATE(2025,7,3)</f>
        <v>0.0</v>
      </c>
      <c r="AK24" t="inlineStr">
        <is>
          <t>Picking</t>
        </is>
      </c>
      <c r="AL24" s="2" t="n">
        <v>41183.43837962963</v>
      </c>
      <c r="AM24"/>
      <c r="AN24"/>
      <c r="AO24" t="n">
        <v>0.0</v>
      </c>
      <c r="AP24" t="n">
        <v>0.0</v>
      </c>
      <c r="AQ24"/>
      <c r="AR24" t="n">
        <v>0.0</v>
      </c>
      <c r="AS24" t="n">
        <v>0.0</v>
      </c>
      <c r="AT24" s="5" t="inlineStr">
        <is>
          <t>AUD</t>
        </is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t="n">
        <v>0.0</v>
      </c>
      <c r="BK24"/>
      <c r="BL24"/>
      <c r="BM24"/>
      <c r="BN24"/>
      <c r="BO24"/>
      <c r="BP24"/>
      <c r="BQ24"/>
      <c r="BR24"/>
      <c r="BS24"/>
      <c r="BT24"/>
      <c r="BU24" t="inlineStr">
        <is>
          <t>Yes</t>
        </is>
      </c>
      <c r="BV24"/>
      <c r="BW24"/>
      <c r="BX24"/>
    </row>
    <row r="25">
      <c r="A25" s="5" t="inlineStr">
        <is>
          <t>SERV</t>
        </is>
      </c>
      <c r="B25" s="5" t="inlineStr">
        <is>
          <t>133241</t>
        </is>
      </c>
      <c r="C25" s="5" t="inlineStr">
        <is>
          <t>Valve Ball S/S 1/2" Suitable For Steam</t>
        </is>
      </c>
      <c r="D25" s="5" t="inlineStr">
        <is>
          <t>*</t>
        </is>
      </c>
      <c r="E25" s="5" t="inlineStr">
        <is>
          <t>602-028</t>
        </is>
      </c>
      <c r="F25" s="5" t="inlineStr">
        <is>
          <t>*</t>
        </is>
      </c>
      <c r="G25" s="5" t="inlineStr">
        <is>
          <t>*</t>
        </is>
      </c>
      <c r="H25"/>
      <c r="I25"/>
      <c r="J25" s="5" t="inlineStr">
        <is>
          <t>0</t>
        </is>
      </c>
      <c r="K25" s="5" t="inlineStr">
        <is>
          <t>*</t>
        </is>
      </c>
      <c r="L25" t="n">
        <v>0.0</v>
      </c>
      <c r="M25" s="5" t="inlineStr">
        <is>
          <t>602</t>
        </is>
      </c>
      <c r="N25" s="5" t="inlineStr">
        <is>
          <t xml:space="preserve">  -</t>
        </is>
      </c>
      <c r="O25" s="5" t="inlineStr">
        <is>
          <t xml:space="preserve">  -</t>
        </is>
      </c>
      <c r="P25" s="5" t="inlineStr">
        <is>
          <t xml:space="preserve">  -</t>
        </is>
      </c>
      <c r="Q25" s="5" t="inlineStr">
        <is>
          <t>028</t>
        </is>
      </c>
      <c r="R25"/>
      <c r="S25" t="n">
        <v>1.0</v>
      </c>
      <c r="T25"/>
      <c r="U25" t="n">
        <v>1.0</v>
      </c>
      <c r="V25"/>
      <c r="W25" t="n">
        <v>0.0</v>
      </c>
      <c r="X25" t="n">
        <v>0.0</v>
      </c>
      <c r="Y25" t="n">
        <v>0.0</v>
      </c>
      <c r="Z25"/>
      <c r="AA25" t="n">
        <v>0.0</v>
      </c>
      <c r="AB25"/>
      <c r="AC25" t="n">
        <v>1.0</v>
      </c>
      <c r="AD25" s="5" t="inlineStr">
        <is>
          <t>pcs</t>
        </is>
      </c>
      <c r="AE25"/>
      <c r="AF25" s="5" t="inlineStr">
        <is>
          <t>pcs</t>
        </is>
      </c>
      <c r="AG25"/>
      <c r="AH25" t="inlineStr">
        <is>
          <t>No</t>
        </is>
      </c>
      <c r="AI25" s="2" t="n">
        <v>45841.408784722225</v>
      </c>
      <c r="AJ25" s="1" t="n">
        <f>DATE(2025,7,3)</f>
        <v>0.0</v>
      </c>
      <c r="AK25" t="inlineStr">
        <is>
          <t>Picking</t>
        </is>
      </c>
      <c r="AL25" s="2" t="n">
        <v>41183.43746527778</v>
      </c>
      <c r="AM25"/>
      <c r="AN25"/>
      <c r="AO25" t="n">
        <v>0.0</v>
      </c>
      <c r="AP25" t="n">
        <v>0.0</v>
      </c>
      <c r="AQ25"/>
      <c r="AR25" t="n">
        <v>31.2</v>
      </c>
      <c r="AS25" t="n">
        <v>31.2</v>
      </c>
      <c r="AT25" s="5" t="inlineStr">
        <is>
          <t>AUD</t>
        </is>
      </c>
      <c r="AU25" t="inlineStr">
        <is>
          <t>Company Owned</t>
        </is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t="n">
        <v>0.0</v>
      </c>
      <c r="BK25"/>
      <c r="BL25"/>
      <c r="BM25"/>
      <c r="BN25"/>
      <c r="BO25"/>
      <c r="BP25"/>
      <c r="BQ25"/>
      <c r="BR25"/>
      <c r="BS25"/>
      <c r="BT25"/>
      <c r="BU25" t="inlineStr">
        <is>
          <t>Yes</t>
        </is>
      </c>
      <c r="BV25"/>
      <c r="BW25"/>
      <c r="BX25"/>
    </row>
    <row r="26">
      <c r="A26" s="5" t="inlineStr">
        <is>
          <t>SERV</t>
        </is>
      </c>
      <c r="B26" s="5" t="inlineStr">
        <is>
          <t>133242</t>
        </is>
      </c>
      <c r="C26" s="5" t="inlineStr">
        <is>
          <t>Valve Ball 3/4 Suitable For Steam 2 piece</t>
        </is>
      </c>
      <c r="D26" s="5" t="inlineStr">
        <is>
          <t>*</t>
        </is>
      </c>
      <c r="E26" s="5" t="inlineStr">
        <is>
          <t>602-028</t>
        </is>
      </c>
      <c r="F26" s="5" t="inlineStr">
        <is>
          <t>*</t>
        </is>
      </c>
      <c r="G26" s="5" t="inlineStr">
        <is>
          <t>*</t>
        </is>
      </c>
      <c r="H26"/>
      <c r="I26"/>
      <c r="J26" s="5" t="inlineStr">
        <is>
          <t>0</t>
        </is>
      </c>
      <c r="K26" s="5" t="inlineStr">
        <is>
          <t>*</t>
        </is>
      </c>
      <c r="L26" t="n">
        <v>0.0</v>
      </c>
      <c r="M26" s="5" t="inlineStr">
        <is>
          <t>602</t>
        </is>
      </c>
      <c r="N26" s="5" t="inlineStr">
        <is>
          <t xml:space="preserve">  -</t>
        </is>
      </c>
      <c r="O26" s="5" t="inlineStr">
        <is>
          <t xml:space="preserve">  -</t>
        </is>
      </c>
      <c r="P26" s="5" t="inlineStr">
        <is>
          <t xml:space="preserve">  -</t>
        </is>
      </c>
      <c r="Q26" s="5" t="inlineStr">
        <is>
          <t>028</t>
        </is>
      </c>
      <c r="R26"/>
      <c r="S26" t="n">
        <v>1.0</v>
      </c>
      <c r="T26"/>
      <c r="U26" t="n">
        <v>1.0</v>
      </c>
      <c r="V26"/>
      <c r="W26" t="n">
        <v>0.0</v>
      </c>
      <c r="X26" t="n">
        <v>0.0</v>
      </c>
      <c r="Y26" t="n">
        <v>0.0</v>
      </c>
      <c r="Z26"/>
      <c r="AA26" t="n">
        <v>0.0</v>
      </c>
      <c r="AB26"/>
      <c r="AC26" t="n">
        <v>1.0</v>
      </c>
      <c r="AD26" s="5" t="inlineStr">
        <is>
          <t>pcs</t>
        </is>
      </c>
      <c r="AE26"/>
      <c r="AF26" s="5" t="inlineStr">
        <is>
          <t>pcs</t>
        </is>
      </c>
      <c r="AG26"/>
      <c r="AH26" t="inlineStr">
        <is>
          <t>No</t>
        </is>
      </c>
      <c r="AI26" s="2" t="n">
        <v>45841.408784722225</v>
      </c>
      <c r="AJ26" s="1" t="n">
        <f>DATE(2025,7,3)</f>
        <v>0.0</v>
      </c>
      <c r="AK26" t="inlineStr">
        <is>
          <t>Picking</t>
        </is>
      </c>
      <c r="AL26" s="2" t="n">
        <v>43322.55189814815</v>
      </c>
      <c r="AM26"/>
      <c r="AN26"/>
      <c r="AO26" t="n">
        <v>0.0</v>
      </c>
      <c r="AP26" t="n">
        <v>0.0</v>
      </c>
      <c r="AQ26"/>
      <c r="AR26" t="n">
        <v>39.88095238095238</v>
      </c>
      <c r="AS26" t="n">
        <v>39.88095238095238</v>
      </c>
      <c r="AT26" s="5" t="inlineStr">
        <is>
          <t>AUD</t>
        </is>
      </c>
      <c r="AU26" t="inlineStr">
        <is>
          <t>Company Owned</t>
        </is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t="n">
        <v>0.0</v>
      </c>
      <c r="BK26"/>
      <c r="BL26"/>
      <c r="BM26"/>
      <c r="BN26"/>
      <c r="BO26"/>
      <c r="BP26"/>
      <c r="BQ26"/>
      <c r="BR26"/>
      <c r="BS26"/>
      <c r="BT26"/>
      <c r="BU26" t="inlineStr">
        <is>
          <t>Yes</t>
        </is>
      </c>
      <c r="BV26"/>
      <c r="BW26"/>
      <c r="BX26"/>
    </row>
    <row r="27">
      <c r="A27" s="5" t="inlineStr">
        <is>
          <t>SERV</t>
        </is>
      </c>
      <c r="B27" s="5" t="inlineStr">
        <is>
          <t>024458</t>
        </is>
      </c>
      <c r="C27" s="5" t="inlineStr">
        <is>
          <t>Wheel Carriage Lassie</t>
        </is>
      </c>
      <c r="D27" s="5" t="inlineStr">
        <is>
          <t>*</t>
        </is>
      </c>
      <c r="E27" s="5" t="inlineStr">
        <is>
          <t>602-017</t>
        </is>
      </c>
      <c r="F27" s="5" t="inlineStr">
        <is>
          <t>*</t>
        </is>
      </c>
      <c r="G27" s="5" t="inlineStr">
        <is>
          <t>*</t>
        </is>
      </c>
      <c r="H27"/>
      <c r="I27"/>
      <c r="J27" s="5" t="inlineStr">
        <is>
          <t>1</t>
        </is>
      </c>
      <c r="K27" s="5" t="inlineStr">
        <is>
          <t>*</t>
        </is>
      </c>
      <c r="L27" t="n">
        <v>0.0</v>
      </c>
      <c r="M27" s="5" t="inlineStr">
        <is>
          <t>602</t>
        </is>
      </c>
      <c r="N27" s="5" t="inlineStr">
        <is>
          <t xml:space="preserve">  -</t>
        </is>
      </c>
      <c r="O27" s="5" t="inlineStr">
        <is>
          <t xml:space="preserve">  -</t>
        </is>
      </c>
      <c r="P27" s="5" t="inlineStr">
        <is>
          <t xml:space="preserve">  -</t>
        </is>
      </c>
      <c r="Q27" s="5" t="inlineStr">
        <is>
          <t>017</t>
        </is>
      </c>
      <c r="R27"/>
      <c r="S27" t="n">
        <v>4.0</v>
      </c>
      <c r="T27"/>
      <c r="U27" t="n">
        <v>4.0</v>
      </c>
      <c r="V27"/>
      <c r="W27" t="n">
        <v>0.0</v>
      </c>
      <c r="X27" t="n">
        <v>0.0</v>
      </c>
      <c r="Y27" t="n">
        <v>0.0</v>
      </c>
      <c r="Z27"/>
      <c r="AA27" t="n">
        <v>0.0</v>
      </c>
      <c r="AB27"/>
      <c r="AC27" t="n">
        <v>4.0</v>
      </c>
      <c r="AD27" s="5" t="inlineStr">
        <is>
          <t>pcs</t>
        </is>
      </c>
      <c r="AE27"/>
      <c r="AF27" s="5" t="inlineStr">
        <is>
          <t>pcs</t>
        </is>
      </c>
      <c r="AG27"/>
      <c r="AH27" t="inlineStr">
        <is>
          <t>No</t>
        </is>
      </c>
      <c r="AI27" s="2" t="n">
        <v>45841.408738425926</v>
      </c>
      <c r="AJ27" s="1" t="n">
        <f>DATE(2025,7,3)</f>
        <v>0.0</v>
      </c>
      <c r="AK27" t="inlineStr">
        <is>
          <t>Picking</t>
        </is>
      </c>
      <c r="AL27" s="2" t="n">
        <v>41900.64266203704</v>
      </c>
      <c r="AM27"/>
      <c r="AN27"/>
      <c r="AO27" t="n">
        <v>0.0</v>
      </c>
      <c r="AP27" t="n">
        <v>0.0</v>
      </c>
      <c r="AQ27"/>
      <c r="AR27" t="n">
        <v>15.05126080728024</v>
      </c>
      <c r="AS27" t="n">
        <v>60.20504322912096</v>
      </c>
      <c r="AT27" s="5" t="inlineStr">
        <is>
          <t>AUD</t>
        </is>
      </c>
      <c r="AU27" t="inlineStr">
        <is>
          <t>Company Owned</t>
        </is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t="n">
        <v>0.0</v>
      </c>
      <c r="BK27"/>
      <c r="BL27"/>
      <c r="BM27"/>
      <c r="BN27"/>
      <c r="BO27"/>
      <c r="BP27"/>
      <c r="BQ27"/>
      <c r="BR27"/>
      <c r="BS27"/>
      <c r="BT27"/>
      <c r="BU27" t="inlineStr">
        <is>
          <t>Yes</t>
        </is>
      </c>
      <c r="BV27"/>
      <c r="BW27"/>
      <c r="BX27"/>
    </row>
    <row r="28">
      <c r="A28" s="5" t="inlineStr">
        <is>
          <t>SERV</t>
        </is>
      </c>
      <c r="B28" s="5" t="inlineStr">
        <is>
          <t>130609</t>
        </is>
      </c>
      <c r="C28" s="5" t="inlineStr">
        <is>
          <t>Union Brass 3/4 M X 1 C</t>
        </is>
      </c>
      <c r="D28" s="5" t="inlineStr">
        <is>
          <t>*</t>
        </is>
      </c>
      <c r="E28" s="5" t="inlineStr">
        <is>
          <t>602-022</t>
        </is>
      </c>
      <c r="F28" s="5" t="inlineStr">
        <is>
          <t>*</t>
        </is>
      </c>
      <c r="G28" s="5" t="inlineStr">
        <is>
          <t>*</t>
        </is>
      </c>
      <c r="H28"/>
      <c r="I28"/>
      <c r="J28" s="5" t="inlineStr">
        <is>
          <t>0</t>
        </is>
      </c>
      <c r="K28" s="5" t="inlineStr">
        <is>
          <t>*</t>
        </is>
      </c>
      <c r="L28" t="n">
        <v>0.0</v>
      </c>
      <c r="M28" s="5" t="inlineStr">
        <is>
          <t>602</t>
        </is>
      </c>
      <c r="N28" s="5" t="inlineStr">
        <is>
          <t xml:space="preserve">  -</t>
        </is>
      </c>
      <c r="O28" s="5" t="inlineStr">
        <is>
          <t xml:space="preserve">  -</t>
        </is>
      </c>
      <c r="P28" s="5" t="inlineStr">
        <is>
          <t xml:space="preserve">  -</t>
        </is>
      </c>
      <c r="Q28" s="5" t="inlineStr">
        <is>
          <t>022</t>
        </is>
      </c>
      <c r="R28"/>
      <c r="S28" t="n">
        <v>1.0</v>
      </c>
      <c r="T28"/>
      <c r="U28" t="n">
        <v>1.0</v>
      </c>
      <c r="V28"/>
      <c r="W28" t="n">
        <v>0.0</v>
      </c>
      <c r="X28" t="n">
        <v>0.0</v>
      </c>
      <c r="Y28" t="n">
        <v>0.0</v>
      </c>
      <c r="Z28"/>
      <c r="AA28" t="n">
        <v>0.0</v>
      </c>
      <c r="AB28"/>
      <c r="AC28" t="n">
        <v>1.0</v>
      </c>
      <c r="AD28" s="5" t="inlineStr">
        <is>
          <t>pcs</t>
        </is>
      </c>
      <c r="AE28"/>
      <c r="AF28" s="5" t="inlineStr">
        <is>
          <t>pcs</t>
        </is>
      </c>
      <c r="AG28"/>
      <c r="AH28" t="inlineStr">
        <is>
          <t>No</t>
        </is>
      </c>
      <c r="AI28" s="2" t="n">
        <v>45841.40875</v>
      </c>
      <c r="AJ28" s="1" t="n">
        <f>DATE(2025,7,3)</f>
        <v>0.0</v>
      </c>
      <c r="AK28" t="inlineStr">
        <is>
          <t>Picking</t>
        </is>
      </c>
      <c r="AL28" s="2" t="n">
        <v>42669.434224537035</v>
      </c>
      <c r="AM28"/>
      <c r="AN28"/>
      <c r="AO28" t="n">
        <v>0.0</v>
      </c>
      <c r="AP28" t="n">
        <v>0.0</v>
      </c>
      <c r="AQ28"/>
      <c r="AR28" t="n">
        <v>9.611698465201156</v>
      </c>
      <c r="AS28" t="n">
        <v>9.611698465201156</v>
      </c>
      <c r="AT28" s="5" t="inlineStr">
        <is>
          <t>AUD</t>
        </is>
      </c>
      <c r="AU28" t="inlineStr">
        <is>
          <t>Company Owned</t>
        </is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t="n">
        <v>0.0</v>
      </c>
      <c r="BK28"/>
      <c r="BL28"/>
      <c r="BM28"/>
      <c r="BN28"/>
      <c r="BO28"/>
      <c r="BP28"/>
      <c r="BQ28"/>
      <c r="BR28"/>
      <c r="BS28"/>
      <c r="BT28"/>
      <c r="BU28" t="inlineStr">
        <is>
          <t>Yes</t>
        </is>
      </c>
      <c r="BV28"/>
      <c r="BW28"/>
      <c r="BX28"/>
    </row>
    <row r="29">
      <c r="A29" s="5" t="inlineStr">
        <is>
          <t>SERV</t>
        </is>
      </c>
      <c r="B29" s="5" t="inlineStr">
        <is>
          <t>130611</t>
        </is>
      </c>
      <c r="C29" s="5" t="inlineStr">
        <is>
          <t>Union Brass 3/4 F X 3/4 C</t>
        </is>
      </c>
      <c r="D29" s="5" t="inlineStr">
        <is>
          <t>*</t>
        </is>
      </c>
      <c r="E29" s="5" t="inlineStr">
        <is>
          <t>602-022</t>
        </is>
      </c>
      <c r="F29" s="5" t="inlineStr">
        <is>
          <t>*</t>
        </is>
      </c>
      <c r="G29" s="5" t="inlineStr">
        <is>
          <t>*</t>
        </is>
      </c>
      <c r="H29"/>
      <c r="I29"/>
      <c r="J29" s="5" t="inlineStr">
        <is>
          <t>0</t>
        </is>
      </c>
      <c r="K29" s="5" t="inlineStr">
        <is>
          <t>*</t>
        </is>
      </c>
      <c r="L29" t="n">
        <v>0.0</v>
      </c>
      <c r="M29" s="5" t="inlineStr">
        <is>
          <t>602</t>
        </is>
      </c>
      <c r="N29" s="5" t="inlineStr">
        <is>
          <t xml:space="preserve">  -</t>
        </is>
      </c>
      <c r="O29" s="5" t="inlineStr">
        <is>
          <t xml:space="preserve">  -</t>
        </is>
      </c>
      <c r="P29" s="5" t="inlineStr">
        <is>
          <t xml:space="preserve">  -</t>
        </is>
      </c>
      <c r="Q29" s="5" t="inlineStr">
        <is>
          <t>022</t>
        </is>
      </c>
      <c r="R29"/>
      <c r="S29" t="n">
        <v>1.0</v>
      </c>
      <c r="T29"/>
      <c r="U29" t="n">
        <v>1.0</v>
      </c>
      <c r="V29"/>
      <c r="W29" t="n">
        <v>0.0</v>
      </c>
      <c r="X29" t="n">
        <v>0.0</v>
      </c>
      <c r="Y29" t="n">
        <v>0.0</v>
      </c>
      <c r="Z29"/>
      <c r="AA29" t="n">
        <v>0.0</v>
      </c>
      <c r="AB29"/>
      <c r="AC29" t="n">
        <v>1.0</v>
      </c>
      <c r="AD29" s="5" t="inlineStr">
        <is>
          <t>pcs</t>
        </is>
      </c>
      <c r="AE29"/>
      <c r="AF29" s="5" t="inlineStr">
        <is>
          <t>pcs</t>
        </is>
      </c>
      <c r="AG29"/>
      <c r="AH29" t="inlineStr">
        <is>
          <t>No</t>
        </is>
      </c>
      <c r="AI29" s="2" t="n">
        <v>45841.40875</v>
      </c>
      <c r="AJ29" s="1" t="n">
        <f>DATE(2025,7,3)</f>
        <v>0.0</v>
      </c>
      <c r="AK29" t="inlineStr">
        <is>
          <t>Picking</t>
        </is>
      </c>
      <c r="AL29" s="2" t="n">
        <v>44336.59179398148</v>
      </c>
      <c r="AM29"/>
      <c r="AN29"/>
      <c r="AO29" t="n">
        <v>0.0</v>
      </c>
      <c r="AP29" t="n">
        <v>0.0</v>
      </c>
      <c r="AQ29"/>
      <c r="AR29" t="n">
        <v>0.01</v>
      </c>
      <c r="AS29" t="n">
        <v>0.01</v>
      </c>
      <c r="AT29" s="5" t="inlineStr">
        <is>
          <t>AUD</t>
        </is>
      </c>
      <c r="AU29" t="inlineStr">
        <is>
          <t>Company Owned</t>
        </is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t="n">
        <v>0.0</v>
      </c>
      <c r="BK29"/>
      <c r="BL29"/>
      <c r="BM29"/>
      <c r="BN29"/>
      <c r="BO29"/>
      <c r="BP29"/>
      <c r="BQ29"/>
      <c r="BR29"/>
      <c r="BS29"/>
      <c r="BT29"/>
      <c r="BU29" t="inlineStr">
        <is>
          <t>Yes</t>
        </is>
      </c>
      <c r="BV29"/>
      <c r="BW29"/>
      <c r="BX29"/>
    </row>
    <row r="30">
      <c r="A30" s="5" t="inlineStr">
        <is>
          <t>SERV</t>
        </is>
      </c>
      <c r="B30" s="5" t="inlineStr">
        <is>
          <t>130613</t>
        </is>
      </c>
      <c r="C30" s="5" t="inlineStr">
        <is>
          <t>Union Brass 3/4 M X 3/4 C</t>
        </is>
      </c>
      <c r="D30" s="5" t="inlineStr">
        <is>
          <t>*</t>
        </is>
      </c>
      <c r="E30" s="5" t="inlineStr">
        <is>
          <t>602-022</t>
        </is>
      </c>
      <c r="F30" s="5" t="inlineStr">
        <is>
          <t>*</t>
        </is>
      </c>
      <c r="G30" s="5" t="inlineStr">
        <is>
          <t>*</t>
        </is>
      </c>
      <c r="H30"/>
      <c r="I30"/>
      <c r="J30" s="5" t="inlineStr">
        <is>
          <t>0</t>
        </is>
      </c>
      <c r="K30" s="5" t="inlineStr">
        <is>
          <t>*</t>
        </is>
      </c>
      <c r="L30" t="n">
        <v>0.0</v>
      </c>
      <c r="M30" s="5" t="inlineStr">
        <is>
          <t>602</t>
        </is>
      </c>
      <c r="N30" s="5" t="inlineStr">
        <is>
          <t xml:space="preserve">  -</t>
        </is>
      </c>
      <c r="O30" s="5" t="inlineStr">
        <is>
          <t xml:space="preserve">  -</t>
        </is>
      </c>
      <c r="P30" s="5" t="inlineStr">
        <is>
          <t xml:space="preserve">  -</t>
        </is>
      </c>
      <c r="Q30" s="5" t="inlineStr">
        <is>
          <t>022</t>
        </is>
      </c>
      <c r="R30"/>
      <c r="S30" t="n">
        <v>1.0</v>
      </c>
      <c r="T30"/>
      <c r="U30" t="n">
        <v>1.0</v>
      </c>
      <c r="V30"/>
      <c r="W30" t="n">
        <v>0.0</v>
      </c>
      <c r="X30" t="n">
        <v>0.0</v>
      </c>
      <c r="Y30" t="n">
        <v>0.0</v>
      </c>
      <c r="Z30"/>
      <c r="AA30" t="n">
        <v>0.0</v>
      </c>
      <c r="AB30"/>
      <c r="AC30" t="n">
        <v>1.0</v>
      </c>
      <c r="AD30" s="5" t="inlineStr">
        <is>
          <t>pcs</t>
        </is>
      </c>
      <c r="AE30"/>
      <c r="AF30" s="5" t="inlineStr">
        <is>
          <t>pcs</t>
        </is>
      </c>
      <c r="AG30"/>
      <c r="AH30" t="inlineStr">
        <is>
          <t>No</t>
        </is>
      </c>
      <c r="AI30" s="2" t="n">
        <v>45841.40875</v>
      </c>
      <c r="AJ30" s="1" t="n">
        <f>DATE(2025,7,3)</f>
        <v>0.0</v>
      </c>
      <c r="AK30" t="inlineStr">
        <is>
          <t>Picking</t>
        </is>
      </c>
      <c r="AL30" s="2" t="n">
        <v>44336.591828703706</v>
      </c>
      <c r="AM30"/>
      <c r="AN30"/>
      <c r="AO30" t="n">
        <v>0.0</v>
      </c>
      <c r="AP30" t="n">
        <v>0.0</v>
      </c>
      <c r="AQ30"/>
      <c r="AR30" t="n">
        <v>0.01</v>
      </c>
      <c r="AS30" t="n">
        <v>0.01</v>
      </c>
      <c r="AT30" s="5" t="inlineStr">
        <is>
          <t>AUD</t>
        </is>
      </c>
      <c r="AU30" t="inlineStr">
        <is>
          <t>Company Owned</t>
        </is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t="n">
        <v>0.0</v>
      </c>
      <c r="BK30"/>
      <c r="BL30"/>
      <c r="BM30"/>
      <c r="BN30"/>
      <c r="BO30"/>
      <c r="BP30"/>
      <c r="BQ30"/>
      <c r="BR30"/>
      <c r="BS30"/>
      <c r="BT30"/>
      <c r="BU30" t="inlineStr">
        <is>
          <t>Yes</t>
        </is>
      </c>
      <c r="BV30"/>
      <c r="BW30"/>
      <c r="BX30"/>
    </row>
    <row r="31">
      <c r="A31" s="5" t="inlineStr">
        <is>
          <t>SERV</t>
        </is>
      </c>
      <c r="B31" s="5" t="inlineStr">
        <is>
          <t>130617</t>
        </is>
      </c>
      <c r="C31" s="5" t="inlineStr">
        <is>
          <t>Union Brass 1/2 M X 3/4 C</t>
        </is>
      </c>
      <c r="D31" s="5" t="inlineStr">
        <is>
          <t>*</t>
        </is>
      </c>
      <c r="E31" s="5" t="inlineStr">
        <is>
          <t>602-022</t>
        </is>
      </c>
      <c r="F31" s="5" t="inlineStr">
        <is>
          <t>*</t>
        </is>
      </c>
      <c r="G31" s="5" t="inlineStr">
        <is>
          <t>*</t>
        </is>
      </c>
      <c r="H31"/>
      <c r="I31"/>
      <c r="J31" s="5" t="inlineStr">
        <is>
          <t>0</t>
        </is>
      </c>
      <c r="K31" s="5" t="inlineStr">
        <is>
          <t>*</t>
        </is>
      </c>
      <c r="L31" t="n">
        <v>0.0</v>
      </c>
      <c r="M31" s="5" t="inlineStr">
        <is>
          <t>602</t>
        </is>
      </c>
      <c r="N31" s="5" t="inlineStr">
        <is>
          <t xml:space="preserve">  -</t>
        </is>
      </c>
      <c r="O31" s="5" t="inlineStr">
        <is>
          <t xml:space="preserve">  -</t>
        </is>
      </c>
      <c r="P31" s="5" t="inlineStr">
        <is>
          <t xml:space="preserve">  -</t>
        </is>
      </c>
      <c r="Q31" s="5" t="inlineStr">
        <is>
          <t>022</t>
        </is>
      </c>
      <c r="R31"/>
      <c r="S31" t="n">
        <v>4.0</v>
      </c>
      <c r="T31"/>
      <c r="U31" t="n">
        <v>4.0</v>
      </c>
      <c r="V31"/>
      <c r="W31" t="n">
        <v>0.0</v>
      </c>
      <c r="X31" t="n">
        <v>0.0</v>
      </c>
      <c r="Y31" t="n">
        <v>0.0</v>
      </c>
      <c r="Z31"/>
      <c r="AA31" t="n">
        <v>0.0</v>
      </c>
      <c r="AB31"/>
      <c r="AC31" t="n">
        <v>4.0</v>
      </c>
      <c r="AD31" s="5" t="inlineStr">
        <is>
          <t>pcs</t>
        </is>
      </c>
      <c r="AE31"/>
      <c r="AF31" s="5" t="inlineStr">
        <is>
          <t>pcs</t>
        </is>
      </c>
      <c r="AG31"/>
      <c r="AH31" t="inlineStr">
        <is>
          <t>No</t>
        </is>
      </c>
      <c r="AI31" s="2" t="n">
        <v>45841.40875</v>
      </c>
      <c r="AJ31" s="1" t="n">
        <f>DATE(2025,7,3)</f>
        <v>0.0</v>
      </c>
      <c r="AK31" t="inlineStr">
        <is>
          <t>Picking</t>
        </is>
      </c>
      <c r="AL31" s="2" t="n">
        <v>44336.591875</v>
      </c>
      <c r="AM31"/>
      <c r="AN31"/>
      <c r="AO31" t="n">
        <v>0.0</v>
      </c>
      <c r="AP31" t="n">
        <v>0.0</v>
      </c>
      <c r="AQ31"/>
      <c r="AR31" t="n">
        <v>0.01</v>
      </c>
      <c r="AS31" t="n">
        <v>0.04</v>
      </c>
      <c r="AT31" s="5" t="inlineStr">
        <is>
          <t>AUD</t>
        </is>
      </c>
      <c r="AU31" t="inlineStr">
        <is>
          <t>Company Owned</t>
        </is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t="n">
        <v>0.0</v>
      </c>
      <c r="BK31"/>
      <c r="BL31"/>
      <c r="BM31"/>
      <c r="BN31"/>
      <c r="BO31"/>
      <c r="BP31"/>
      <c r="BQ31"/>
      <c r="BR31"/>
      <c r="BS31"/>
      <c r="BT31"/>
      <c r="BU31" t="inlineStr">
        <is>
          <t>Yes</t>
        </is>
      </c>
      <c r="BV31"/>
      <c r="BW31"/>
      <c r="BX31"/>
    </row>
    <row r="32">
      <c r="A32" s="5" t="inlineStr">
        <is>
          <t>SERV</t>
        </is>
      </c>
      <c r="B32" s="5" t="inlineStr">
        <is>
          <t>130619</t>
        </is>
      </c>
      <c r="C32" s="5" t="inlineStr">
        <is>
          <t>Union Brass 1/2 F X 1/2 C</t>
        </is>
      </c>
      <c r="D32" s="5" t="inlineStr">
        <is>
          <t>*</t>
        </is>
      </c>
      <c r="E32" s="5" t="inlineStr">
        <is>
          <t>602-022</t>
        </is>
      </c>
      <c r="F32" s="5" t="inlineStr">
        <is>
          <t>*</t>
        </is>
      </c>
      <c r="G32" s="5" t="inlineStr">
        <is>
          <t>*</t>
        </is>
      </c>
      <c r="H32"/>
      <c r="I32"/>
      <c r="J32" s="5" t="inlineStr">
        <is>
          <t>0</t>
        </is>
      </c>
      <c r="K32" s="5" t="inlineStr">
        <is>
          <t>*</t>
        </is>
      </c>
      <c r="L32" t="n">
        <v>0.0</v>
      </c>
      <c r="M32" s="5" t="inlineStr">
        <is>
          <t>602</t>
        </is>
      </c>
      <c r="N32" s="5" t="inlineStr">
        <is>
          <t xml:space="preserve">  -</t>
        </is>
      </c>
      <c r="O32" s="5" t="inlineStr">
        <is>
          <t xml:space="preserve">  -</t>
        </is>
      </c>
      <c r="P32" s="5" t="inlineStr">
        <is>
          <t xml:space="preserve">  -</t>
        </is>
      </c>
      <c r="Q32" s="5" t="inlineStr">
        <is>
          <t>022</t>
        </is>
      </c>
      <c r="R32"/>
      <c r="S32" t="n">
        <v>2.0</v>
      </c>
      <c r="T32"/>
      <c r="U32" t="n">
        <v>2.0</v>
      </c>
      <c r="V32"/>
      <c r="W32" t="n">
        <v>0.0</v>
      </c>
      <c r="X32" t="n">
        <v>0.0</v>
      </c>
      <c r="Y32" t="n">
        <v>0.0</v>
      </c>
      <c r="Z32"/>
      <c r="AA32" t="n">
        <v>0.0</v>
      </c>
      <c r="AB32"/>
      <c r="AC32" t="n">
        <v>2.0</v>
      </c>
      <c r="AD32" s="5" t="inlineStr">
        <is>
          <t>pcs</t>
        </is>
      </c>
      <c r="AE32"/>
      <c r="AF32" s="5" t="inlineStr">
        <is>
          <t>pcs</t>
        </is>
      </c>
      <c r="AG32"/>
      <c r="AH32" t="inlineStr">
        <is>
          <t>No</t>
        </is>
      </c>
      <c r="AI32" s="2" t="n">
        <v>45841.40875</v>
      </c>
      <c r="AJ32" s="1" t="n">
        <f>DATE(2025,7,3)</f>
        <v>0.0</v>
      </c>
      <c r="AK32" t="inlineStr">
        <is>
          <t>Picking</t>
        </is>
      </c>
      <c r="AL32" s="2" t="n">
        <v>41183.43609953704</v>
      </c>
      <c r="AM32"/>
      <c r="AN32"/>
      <c r="AO32" t="n">
        <v>0.0</v>
      </c>
      <c r="AP32" t="n">
        <v>0.0</v>
      </c>
      <c r="AQ32"/>
      <c r="AR32" t="n">
        <v>3.238845917879646</v>
      </c>
      <c r="AS32" t="n">
        <v>6.477691835759292</v>
      </c>
      <c r="AT32" s="5" t="inlineStr">
        <is>
          <t>AUD</t>
        </is>
      </c>
      <c r="AU32" t="inlineStr">
        <is>
          <t>Company Owned</t>
        </is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t="n">
        <v>0.0</v>
      </c>
      <c r="BK32"/>
      <c r="BL32"/>
      <c r="BM32"/>
      <c r="BN32"/>
      <c r="BO32"/>
      <c r="BP32"/>
      <c r="BQ32"/>
      <c r="BR32"/>
      <c r="BS32"/>
      <c r="BT32"/>
      <c r="BU32" t="inlineStr">
        <is>
          <t>Yes</t>
        </is>
      </c>
      <c r="BV32"/>
      <c r="BW32"/>
      <c r="BX32"/>
    </row>
    <row r="33">
      <c r="A33" s="5" t="inlineStr">
        <is>
          <t>SERV</t>
        </is>
      </c>
      <c r="B33" s="5" t="inlineStr">
        <is>
          <t>130621</t>
        </is>
      </c>
      <c r="C33" s="5" t="inlineStr">
        <is>
          <t>Union Brass 1/2 M X 1/2 C</t>
        </is>
      </c>
      <c r="D33" s="5" t="inlineStr">
        <is>
          <t>*</t>
        </is>
      </c>
      <c r="E33" s="5" t="inlineStr">
        <is>
          <t>602-022</t>
        </is>
      </c>
      <c r="F33" s="5" t="inlineStr">
        <is>
          <t>*</t>
        </is>
      </c>
      <c r="G33" s="5" t="inlineStr">
        <is>
          <t>*</t>
        </is>
      </c>
      <c r="H33"/>
      <c r="I33"/>
      <c r="J33" s="5" t="inlineStr">
        <is>
          <t>0</t>
        </is>
      </c>
      <c r="K33" s="5" t="inlineStr">
        <is>
          <t>*</t>
        </is>
      </c>
      <c r="L33" t="n">
        <v>0.0</v>
      </c>
      <c r="M33" s="5" t="inlineStr">
        <is>
          <t>602</t>
        </is>
      </c>
      <c r="N33" s="5" t="inlineStr">
        <is>
          <t xml:space="preserve">  -</t>
        </is>
      </c>
      <c r="O33" s="5" t="inlineStr">
        <is>
          <t xml:space="preserve">  -</t>
        </is>
      </c>
      <c r="P33" s="5" t="inlineStr">
        <is>
          <t xml:space="preserve">  -</t>
        </is>
      </c>
      <c r="Q33" s="5" t="inlineStr">
        <is>
          <t>022</t>
        </is>
      </c>
      <c r="R33"/>
      <c r="S33" t="n">
        <v>4.0</v>
      </c>
      <c r="T33"/>
      <c r="U33" t="n">
        <v>4.0</v>
      </c>
      <c r="V33"/>
      <c r="W33" t="n">
        <v>0.0</v>
      </c>
      <c r="X33" t="n">
        <v>0.0</v>
      </c>
      <c r="Y33" t="n">
        <v>0.0</v>
      </c>
      <c r="Z33"/>
      <c r="AA33" t="n">
        <v>0.0</v>
      </c>
      <c r="AB33"/>
      <c r="AC33" t="n">
        <v>4.0</v>
      </c>
      <c r="AD33" s="5" t="inlineStr">
        <is>
          <t>pcs</t>
        </is>
      </c>
      <c r="AE33"/>
      <c r="AF33" s="5" t="inlineStr">
        <is>
          <t>pcs</t>
        </is>
      </c>
      <c r="AG33"/>
      <c r="AH33" t="inlineStr">
        <is>
          <t>No</t>
        </is>
      </c>
      <c r="AI33" s="2" t="n">
        <v>45841.40875</v>
      </c>
      <c r="AJ33" s="1" t="n">
        <f>DATE(2025,7,3)</f>
        <v>0.0</v>
      </c>
      <c r="AK33" t="inlineStr">
        <is>
          <t>Picking</t>
        </is>
      </c>
      <c r="AL33" s="2" t="n">
        <v>44336.591944444444</v>
      </c>
      <c r="AM33"/>
      <c r="AN33"/>
      <c r="AO33" t="n">
        <v>0.0</v>
      </c>
      <c r="AP33" t="n">
        <v>0.0</v>
      </c>
      <c r="AQ33"/>
      <c r="AR33" t="n">
        <v>0.01</v>
      </c>
      <c r="AS33" t="n">
        <v>0.04</v>
      </c>
      <c r="AT33" s="5" t="inlineStr">
        <is>
          <t>AUD</t>
        </is>
      </c>
      <c r="AU33" t="inlineStr">
        <is>
          <t>Company Owned</t>
        </is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t="n">
        <v>0.0</v>
      </c>
      <c r="BK33"/>
      <c r="BL33"/>
      <c r="BM33"/>
      <c r="BN33"/>
      <c r="BO33"/>
      <c r="BP33"/>
      <c r="BQ33"/>
      <c r="BR33"/>
      <c r="BS33"/>
      <c r="BT33"/>
      <c r="BU33" t="inlineStr">
        <is>
          <t>Yes</t>
        </is>
      </c>
      <c r="BV33"/>
      <c r="BW33"/>
      <c r="BX33"/>
    </row>
    <row r="34">
      <c r="A34" s="5" t="inlineStr">
        <is>
          <t>SERV</t>
        </is>
      </c>
      <c r="B34" s="5" t="inlineStr">
        <is>
          <t>130639</t>
        </is>
      </c>
      <c r="C34" s="5" t="inlineStr">
        <is>
          <t>Elbow Brass 1 M X 1 C</t>
        </is>
      </c>
      <c r="D34" s="5" t="inlineStr">
        <is>
          <t>*</t>
        </is>
      </c>
      <c r="E34" s="5" t="inlineStr">
        <is>
          <t>602-022</t>
        </is>
      </c>
      <c r="F34" s="5" t="inlineStr">
        <is>
          <t>*</t>
        </is>
      </c>
      <c r="G34" s="5" t="inlineStr">
        <is>
          <t>*</t>
        </is>
      </c>
      <c r="H34"/>
      <c r="I34"/>
      <c r="J34" s="5" t="inlineStr">
        <is>
          <t>0</t>
        </is>
      </c>
      <c r="K34" s="5" t="inlineStr">
        <is>
          <t>*</t>
        </is>
      </c>
      <c r="L34" t="n">
        <v>0.0</v>
      </c>
      <c r="M34" s="5" t="inlineStr">
        <is>
          <t>602</t>
        </is>
      </c>
      <c r="N34" s="5" t="inlineStr">
        <is>
          <t xml:space="preserve">  -</t>
        </is>
      </c>
      <c r="O34" s="5" t="inlineStr">
        <is>
          <t xml:space="preserve">  -</t>
        </is>
      </c>
      <c r="P34" s="5" t="inlineStr">
        <is>
          <t xml:space="preserve">  -</t>
        </is>
      </c>
      <c r="Q34" s="5" t="inlineStr">
        <is>
          <t>022</t>
        </is>
      </c>
      <c r="R34"/>
      <c r="S34" t="n">
        <v>1.0</v>
      </c>
      <c r="T34"/>
      <c r="U34" t="n">
        <v>1.0</v>
      </c>
      <c r="V34"/>
      <c r="W34" t="n">
        <v>0.0</v>
      </c>
      <c r="X34" t="n">
        <v>0.0</v>
      </c>
      <c r="Y34" t="n">
        <v>0.0</v>
      </c>
      <c r="Z34"/>
      <c r="AA34" t="n">
        <v>0.0</v>
      </c>
      <c r="AB34"/>
      <c r="AC34" t="n">
        <v>1.0</v>
      </c>
      <c r="AD34" s="5" t="inlineStr">
        <is>
          <t>pcs</t>
        </is>
      </c>
      <c r="AE34"/>
      <c r="AF34" s="5" t="inlineStr">
        <is>
          <t>pcs</t>
        </is>
      </c>
      <c r="AG34"/>
      <c r="AH34" t="inlineStr">
        <is>
          <t>No</t>
        </is>
      </c>
      <c r="AI34" s="2" t="n">
        <v>45841.40875</v>
      </c>
      <c r="AJ34" s="1" t="n">
        <f>DATE(2025,7,3)</f>
        <v>0.0</v>
      </c>
      <c r="AK34" t="inlineStr">
        <is>
          <t>Picking</t>
        </is>
      </c>
      <c r="AL34" s="2" t="n">
        <v>44336.59207175926</v>
      </c>
      <c r="AM34"/>
      <c r="AN34"/>
      <c r="AO34" t="n">
        <v>0.0</v>
      </c>
      <c r="AP34" t="n">
        <v>0.0</v>
      </c>
      <c r="AQ34"/>
      <c r="AR34" t="n">
        <v>0.01</v>
      </c>
      <c r="AS34" t="n">
        <v>0.01</v>
      </c>
      <c r="AT34" s="5" t="inlineStr">
        <is>
          <t>AUD</t>
        </is>
      </c>
      <c r="AU34" t="inlineStr">
        <is>
          <t>Company Owned</t>
        </is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t="n">
        <v>0.0</v>
      </c>
      <c r="BK34"/>
      <c r="BL34"/>
      <c r="BM34"/>
      <c r="BN34"/>
      <c r="BO34"/>
      <c r="BP34"/>
      <c r="BQ34"/>
      <c r="BR34"/>
      <c r="BS34"/>
      <c r="BT34"/>
      <c r="BU34" t="inlineStr">
        <is>
          <t>Yes</t>
        </is>
      </c>
      <c r="BV34"/>
      <c r="BW34"/>
      <c r="BX34"/>
    </row>
    <row r="35">
      <c r="A35" s="5" t="inlineStr">
        <is>
          <t>SERV</t>
        </is>
      </c>
      <c r="B35" s="5" t="inlineStr">
        <is>
          <t>130651</t>
        </is>
      </c>
      <c r="C35" s="5" t="inlineStr">
        <is>
          <t>Elbow Brass 1/2 M X 3/4 C</t>
        </is>
      </c>
      <c r="D35" s="5" t="inlineStr">
        <is>
          <t>*</t>
        </is>
      </c>
      <c r="E35" s="5" t="inlineStr">
        <is>
          <t>602-022</t>
        </is>
      </c>
      <c r="F35" s="5" t="inlineStr">
        <is>
          <t>*</t>
        </is>
      </c>
      <c r="G35" s="5" t="inlineStr">
        <is>
          <t>*</t>
        </is>
      </c>
      <c r="H35"/>
      <c r="I35"/>
      <c r="J35" s="5" t="inlineStr">
        <is>
          <t>0</t>
        </is>
      </c>
      <c r="K35" s="5" t="inlineStr">
        <is>
          <t>*</t>
        </is>
      </c>
      <c r="L35" t="n">
        <v>0.0</v>
      </c>
      <c r="M35" s="5" t="inlineStr">
        <is>
          <t>602</t>
        </is>
      </c>
      <c r="N35" s="5" t="inlineStr">
        <is>
          <t xml:space="preserve">  -</t>
        </is>
      </c>
      <c r="O35" s="5" t="inlineStr">
        <is>
          <t xml:space="preserve">  -</t>
        </is>
      </c>
      <c r="P35" s="5" t="inlineStr">
        <is>
          <t xml:space="preserve">  -</t>
        </is>
      </c>
      <c r="Q35" s="5" t="inlineStr">
        <is>
          <t>022</t>
        </is>
      </c>
      <c r="R35"/>
      <c r="S35" t="n">
        <v>1.0</v>
      </c>
      <c r="T35"/>
      <c r="U35" t="n">
        <v>1.0</v>
      </c>
      <c r="V35"/>
      <c r="W35" t="n">
        <v>0.0</v>
      </c>
      <c r="X35" t="n">
        <v>0.0</v>
      </c>
      <c r="Y35" t="n">
        <v>0.0</v>
      </c>
      <c r="Z35"/>
      <c r="AA35" t="n">
        <v>0.0</v>
      </c>
      <c r="AB35"/>
      <c r="AC35" t="n">
        <v>1.0</v>
      </c>
      <c r="AD35" s="5" t="inlineStr">
        <is>
          <t>pcs</t>
        </is>
      </c>
      <c r="AE35"/>
      <c r="AF35" s="5" t="inlineStr">
        <is>
          <t>pcs</t>
        </is>
      </c>
      <c r="AG35"/>
      <c r="AH35" t="inlineStr">
        <is>
          <t>No</t>
        </is>
      </c>
      <c r="AI35" s="2" t="n">
        <v>45841.40875</v>
      </c>
      <c r="AJ35" s="1" t="n">
        <f>DATE(2025,7,3)</f>
        <v>0.0</v>
      </c>
      <c r="AK35" t="inlineStr">
        <is>
          <t>Picking</t>
        </is>
      </c>
      <c r="AL35" s="2" t="n">
        <v>44336.592210648145</v>
      </c>
      <c r="AM35"/>
      <c r="AN35"/>
      <c r="AO35" t="n">
        <v>0.0</v>
      </c>
      <c r="AP35" t="n">
        <v>0.0</v>
      </c>
      <c r="AQ35"/>
      <c r="AR35" t="n">
        <v>0.01</v>
      </c>
      <c r="AS35" t="n">
        <v>0.01</v>
      </c>
      <c r="AT35" s="5" t="inlineStr">
        <is>
          <t>AUD</t>
        </is>
      </c>
      <c r="AU35" t="inlineStr">
        <is>
          <t>Company Owned</t>
        </is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t="n">
        <v>0.0</v>
      </c>
      <c r="BK35"/>
      <c r="BL35"/>
      <c r="BM35"/>
      <c r="BN35"/>
      <c r="BO35"/>
      <c r="BP35"/>
      <c r="BQ35"/>
      <c r="BR35"/>
      <c r="BS35"/>
      <c r="BT35"/>
      <c r="BU35" t="inlineStr">
        <is>
          <t>Yes</t>
        </is>
      </c>
      <c r="BV35"/>
      <c r="BW35"/>
      <c r="BX35"/>
    </row>
    <row r="36">
      <c r="A36" s="5" t="inlineStr">
        <is>
          <t>SERV</t>
        </is>
      </c>
      <c r="B36" s="5" t="inlineStr">
        <is>
          <t>130655</t>
        </is>
      </c>
      <c r="C36" s="5" t="inlineStr">
        <is>
          <t>Elbow Brass 1/2 M X 1/2 C</t>
        </is>
      </c>
      <c r="D36" s="5" t="inlineStr">
        <is>
          <t>*</t>
        </is>
      </c>
      <c r="E36" s="5" t="inlineStr">
        <is>
          <t>602-022</t>
        </is>
      </c>
      <c r="F36" s="5" t="inlineStr">
        <is>
          <t>*</t>
        </is>
      </c>
      <c r="G36" s="5" t="inlineStr">
        <is>
          <t>*</t>
        </is>
      </c>
      <c r="H36"/>
      <c r="I36"/>
      <c r="J36" s="5" t="inlineStr">
        <is>
          <t>0</t>
        </is>
      </c>
      <c r="K36" s="5" t="inlineStr">
        <is>
          <t>*</t>
        </is>
      </c>
      <c r="L36" t="n">
        <v>0.0</v>
      </c>
      <c r="M36" s="5" t="inlineStr">
        <is>
          <t>602</t>
        </is>
      </c>
      <c r="N36" s="5" t="inlineStr">
        <is>
          <t xml:space="preserve">  -</t>
        </is>
      </c>
      <c r="O36" s="5" t="inlineStr">
        <is>
          <t xml:space="preserve">  -</t>
        </is>
      </c>
      <c r="P36" s="5" t="inlineStr">
        <is>
          <t xml:space="preserve">  -</t>
        </is>
      </c>
      <c r="Q36" s="5" t="inlineStr">
        <is>
          <t>022</t>
        </is>
      </c>
      <c r="R36"/>
      <c r="S36" t="n">
        <v>2.0</v>
      </c>
      <c r="T36"/>
      <c r="U36" t="n">
        <v>2.0</v>
      </c>
      <c r="V36"/>
      <c r="W36" t="n">
        <v>0.0</v>
      </c>
      <c r="X36" t="n">
        <v>0.0</v>
      </c>
      <c r="Y36" t="n">
        <v>0.0</v>
      </c>
      <c r="Z36"/>
      <c r="AA36" t="n">
        <v>0.0</v>
      </c>
      <c r="AB36"/>
      <c r="AC36" t="n">
        <v>2.0</v>
      </c>
      <c r="AD36" s="5" t="inlineStr">
        <is>
          <t>pcs</t>
        </is>
      </c>
      <c r="AE36"/>
      <c r="AF36" s="5" t="inlineStr">
        <is>
          <t>pcs</t>
        </is>
      </c>
      <c r="AG36"/>
      <c r="AH36" t="inlineStr">
        <is>
          <t>No</t>
        </is>
      </c>
      <c r="AI36" s="2" t="n">
        <v>45841.40875</v>
      </c>
      <c r="AJ36" s="1" t="n">
        <f>DATE(2025,7,3)</f>
        <v>0.0</v>
      </c>
      <c r="AK36" t="inlineStr">
        <is>
          <t>Picking</t>
        </is>
      </c>
      <c r="AL36" s="2" t="n">
        <v>44336.59226851852</v>
      </c>
      <c r="AM36"/>
      <c r="AN36"/>
      <c r="AO36" t="n">
        <v>0.0</v>
      </c>
      <c r="AP36" t="n">
        <v>0.0</v>
      </c>
      <c r="AQ36"/>
      <c r="AR36" t="n">
        <v>0.01</v>
      </c>
      <c r="AS36" t="n">
        <v>0.02</v>
      </c>
      <c r="AT36" s="5" t="inlineStr">
        <is>
          <t>AUD</t>
        </is>
      </c>
      <c r="AU36" t="inlineStr">
        <is>
          <t>Company Owned</t>
        </is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t="n">
        <v>0.0</v>
      </c>
      <c r="BK36"/>
      <c r="BL36"/>
      <c r="BM36"/>
      <c r="BN36"/>
      <c r="BO36"/>
      <c r="BP36"/>
      <c r="BQ36"/>
      <c r="BR36"/>
      <c r="BS36"/>
      <c r="BT36"/>
      <c r="BU36" t="inlineStr">
        <is>
          <t>Yes</t>
        </is>
      </c>
      <c r="BV36"/>
      <c r="BW36"/>
      <c r="BX36"/>
    </row>
    <row r="37">
      <c r="A37" s="5" t="inlineStr">
        <is>
          <t>SERV</t>
        </is>
      </c>
      <c r="B37" s="5" t="inlineStr">
        <is>
          <t>130656</t>
        </is>
      </c>
      <c r="C37" s="5" t="inlineStr">
        <is>
          <t>Elbow Brass 1/2 F X 1/2 C</t>
        </is>
      </c>
      <c r="D37" s="5" t="inlineStr">
        <is>
          <t>*</t>
        </is>
      </c>
      <c r="E37" s="5" t="inlineStr">
        <is>
          <t>602-022</t>
        </is>
      </c>
      <c r="F37" s="5" t="inlineStr">
        <is>
          <t>*</t>
        </is>
      </c>
      <c r="G37" s="5" t="inlineStr">
        <is>
          <t>*</t>
        </is>
      </c>
      <c r="H37"/>
      <c r="I37"/>
      <c r="J37" s="5" t="inlineStr">
        <is>
          <t>0</t>
        </is>
      </c>
      <c r="K37" s="5" t="inlineStr">
        <is>
          <t>*</t>
        </is>
      </c>
      <c r="L37" t="n">
        <v>0.0</v>
      </c>
      <c r="M37" s="5" t="inlineStr">
        <is>
          <t>602</t>
        </is>
      </c>
      <c r="N37" s="5" t="inlineStr">
        <is>
          <t xml:space="preserve">  -</t>
        </is>
      </c>
      <c r="O37" s="5" t="inlineStr">
        <is>
          <t xml:space="preserve">  -</t>
        </is>
      </c>
      <c r="P37" s="5" t="inlineStr">
        <is>
          <t xml:space="preserve">  -</t>
        </is>
      </c>
      <c r="Q37" s="5" t="inlineStr">
        <is>
          <t>022</t>
        </is>
      </c>
      <c r="R37"/>
      <c r="S37" t="n">
        <v>3.0</v>
      </c>
      <c r="T37"/>
      <c r="U37" t="n">
        <v>3.0</v>
      </c>
      <c r="V37"/>
      <c r="W37" t="n">
        <v>0.0</v>
      </c>
      <c r="X37" t="n">
        <v>0.0</v>
      </c>
      <c r="Y37" t="n">
        <v>0.0</v>
      </c>
      <c r="Z37"/>
      <c r="AA37" t="n">
        <v>0.0</v>
      </c>
      <c r="AB37"/>
      <c r="AC37" t="n">
        <v>3.0</v>
      </c>
      <c r="AD37" s="5" t="inlineStr">
        <is>
          <t>pcs</t>
        </is>
      </c>
      <c r="AE37"/>
      <c r="AF37" s="5" t="inlineStr">
        <is>
          <t>pcs</t>
        </is>
      </c>
      <c r="AG37"/>
      <c r="AH37" t="inlineStr">
        <is>
          <t>No</t>
        </is>
      </c>
      <c r="AI37" s="2" t="n">
        <v>45841.40875</v>
      </c>
      <c r="AJ37" s="1" t="n">
        <f>DATE(2025,7,3)</f>
        <v>0.0</v>
      </c>
      <c r="AK37" t="inlineStr">
        <is>
          <t>Picking</t>
        </is>
      </c>
      <c r="AL37" s="2" t="n">
        <v>44336.59229166667</v>
      </c>
      <c r="AM37"/>
      <c r="AN37"/>
      <c r="AO37" t="n">
        <v>0.0</v>
      </c>
      <c r="AP37" t="n">
        <v>0.0</v>
      </c>
      <c r="AQ37"/>
      <c r="AR37" t="n">
        <v>0.01</v>
      </c>
      <c r="AS37" t="n">
        <v>0.03</v>
      </c>
      <c r="AT37" s="5" t="inlineStr">
        <is>
          <t>AUD</t>
        </is>
      </c>
      <c r="AU37" t="inlineStr">
        <is>
          <t>Company Owned</t>
        </is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t="n">
        <v>0.0</v>
      </c>
      <c r="BK37"/>
      <c r="BL37"/>
      <c r="BM37"/>
      <c r="BN37"/>
      <c r="BO37"/>
      <c r="BP37"/>
      <c r="BQ37"/>
      <c r="BR37"/>
      <c r="BS37"/>
      <c r="BT37"/>
      <c r="BU37" t="inlineStr">
        <is>
          <t>Yes</t>
        </is>
      </c>
      <c r="BV37"/>
      <c r="BW37"/>
      <c r="BX37"/>
    </row>
    <row r="38">
      <c r="A38" s="5" t="inlineStr">
        <is>
          <t>SERV</t>
        </is>
      </c>
      <c r="B38" s="5" t="inlineStr">
        <is>
          <t>130671</t>
        </is>
      </c>
      <c r="C38" s="5" t="inlineStr">
        <is>
          <t>Nipple Brass Reducing 1/2 X 3/8</t>
        </is>
      </c>
      <c r="D38" s="5" t="inlineStr">
        <is>
          <t>*</t>
        </is>
      </c>
      <c r="E38" s="5" t="inlineStr">
        <is>
          <t>602-022</t>
        </is>
      </c>
      <c r="F38" s="5" t="inlineStr">
        <is>
          <t>*</t>
        </is>
      </c>
      <c r="G38" s="5" t="inlineStr">
        <is>
          <t>*</t>
        </is>
      </c>
      <c r="H38"/>
      <c r="I38"/>
      <c r="J38" s="5" t="inlineStr">
        <is>
          <t>0</t>
        </is>
      </c>
      <c r="K38" s="5" t="inlineStr">
        <is>
          <t>*</t>
        </is>
      </c>
      <c r="L38" t="n">
        <v>0.0</v>
      </c>
      <c r="M38" s="5" t="inlineStr">
        <is>
          <t>602</t>
        </is>
      </c>
      <c r="N38" s="5" t="inlineStr">
        <is>
          <t xml:space="preserve">  -</t>
        </is>
      </c>
      <c r="O38" s="5" t="inlineStr">
        <is>
          <t xml:space="preserve">  -</t>
        </is>
      </c>
      <c r="P38" s="5" t="inlineStr">
        <is>
          <t xml:space="preserve">  -</t>
        </is>
      </c>
      <c r="Q38" s="5" t="inlineStr">
        <is>
          <t>022</t>
        </is>
      </c>
      <c r="R38"/>
      <c r="S38" t="n">
        <v>2.0</v>
      </c>
      <c r="T38"/>
      <c r="U38" t="n">
        <v>2.0</v>
      </c>
      <c r="V38"/>
      <c r="W38" t="n">
        <v>0.0</v>
      </c>
      <c r="X38" t="n">
        <v>0.0</v>
      </c>
      <c r="Y38" t="n">
        <v>0.0</v>
      </c>
      <c r="Z38"/>
      <c r="AA38" t="n">
        <v>0.0</v>
      </c>
      <c r="AB38"/>
      <c r="AC38" t="n">
        <v>2.0</v>
      </c>
      <c r="AD38" s="5" t="inlineStr">
        <is>
          <t>pcs</t>
        </is>
      </c>
      <c r="AE38"/>
      <c r="AF38" s="5" t="inlineStr">
        <is>
          <t>pcs</t>
        </is>
      </c>
      <c r="AG38"/>
      <c r="AH38" t="inlineStr">
        <is>
          <t>No</t>
        </is>
      </c>
      <c r="AI38" s="2" t="n">
        <v>45841.40875</v>
      </c>
      <c r="AJ38" s="1" t="n">
        <f>DATE(2025,7,3)</f>
        <v>0.0</v>
      </c>
      <c r="AK38" t="inlineStr">
        <is>
          <t>Picking</t>
        </is>
      </c>
      <c r="AL38" s="2" t="n">
        <v>41183.43561342593</v>
      </c>
      <c r="AM38"/>
      <c r="AN38"/>
      <c r="AO38" t="n">
        <v>0.0</v>
      </c>
      <c r="AP38" t="n">
        <v>0.0</v>
      </c>
      <c r="AQ38"/>
      <c r="AR38" t="n">
        <v>3.483324641742488</v>
      </c>
      <c r="AS38" t="n">
        <v>6.966649283484976</v>
      </c>
      <c r="AT38" s="5" t="inlineStr">
        <is>
          <t>AUD</t>
        </is>
      </c>
      <c r="AU38" t="inlineStr">
        <is>
          <t>Company Owned</t>
        </is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t="n">
        <v>0.0</v>
      </c>
      <c r="BK38"/>
      <c r="BL38"/>
      <c r="BM38"/>
      <c r="BN38"/>
      <c r="BO38"/>
      <c r="BP38"/>
      <c r="BQ38"/>
      <c r="BR38"/>
      <c r="BS38"/>
      <c r="BT38"/>
      <c r="BU38" t="inlineStr">
        <is>
          <t>Yes</t>
        </is>
      </c>
      <c r="BV38"/>
      <c r="BW38"/>
      <c r="BX38"/>
    </row>
    <row r="39">
      <c r="A39" s="5" t="inlineStr">
        <is>
          <t>SERV</t>
        </is>
      </c>
      <c r="B39" s="5" t="inlineStr">
        <is>
          <t>130686</t>
        </is>
      </c>
      <c r="C39" s="5" t="inlineStr">
        <is>
          <t>Socket Brass Hex 3/4 BSP</t>
        </is>
      </c>
      <c r="D39" s="5" t="inlineStr">
        <is>
          <t>*</t>
        </is>
      </c>
      <c r="E39" s="5" t="inlineStr">
        <is>
          <t>602-022</t>
        </is>
      </c>
      <c r="F39" s="5" t="inlineStr">
        <is>
          <t>*</t>
        </is>
      </c>
      <c r="G39" s="5" t="inlineStr">
        <is>
          <t>*</t>
        </is>
      </c>
      <c r="H39"/>
      <c r="I39"/>
      <c r="J39" s="5" t="inlineStr">
        <is>
          <t>0</t>
        </is>
      </c>
      <c r="K39" s="5" t="inlineStr">
        <is>
          <t>*</t>
        </is>
      </c>
      <c r="L39" t="n">
        <v>0.0</v>
      </c>
      <c r="M39" s="5" t="inlineStr">
        <is>
          <t>602</t>
        </is>
      </c>
      <c r="N39" s="5" t="inlineStr">
        <is>
          <t xml:space="preserve">  -</t>
        </is>
      </c>
      <c r="O39" s="5" t="inlineStr">
        <is>
          <t xml:space="preserve">  -</t>
        </is>
      </c>
      <c r="P39" s="5" t="inlineStr">
        <is>
          <t xml:space="preserve">  -</t>
        </is>
      </c>
      <c r="Q39" s="5" t="inlineStr">
        <is>
          <t>022</t>
        </is>
      </c>
      <c r="R39"/>
      <c r="S39" t="n">
        <v>1.0</v>
      </c>
      <c r="T39"/>
      <c r="U39" t="n">
        <v>1.0</v>
      </c>
      <c r="V39"/>
      <c r="W39" t="n">
        <v>0.0</v>
      </c>
      <c r="X39" t="n">
        <v>0.0</v>
      </c>
      <c r="Y39" t="n">
        <v>0.0</v>
      </c>
      <c r="Z39"/>
      <c r="AA39" t="n">
        <v>0.0</v>
      </c>
      <c r="AB39"/>
      <c r="AC39" t="n">
        <v>1.0</v>
      </c>
      <c r="AD39" s="5" t="inlineStr">
        <is>
          <t>pcs</t>
        </is>
      </c>
      <c r="AE39"/>
      <c r="AF39" s="5" t="inlineStr">
        <is>
          <t>pcs</t>
        </is>
      </c>
      <c r="AG39"/>
      <c r="AH39" t="inlineStr">
        <is>
          <t>No</t>
        </is>
      </c>
      <c r="AI39" s="2" t="n">
        <v>45841.40875</v>
      </c>
      <c r="AJ39" s="1" t="n">
        <f>DATE(2025,7,3)</f>
        <v>0.0</v>
      </c>
      <c r="AK39" t="inlineStr">
        <is>
          <t>Picking</t>
        </is>
      </c>
      <c r="AL39" s="2" t="n">
        <v>44336.59233796296</v>
      </c>
      <c r="AM39"/>
      <c r="AN39"/>
      <c r="AO39" t="n">
        <v>0.0</v>
      </c>
      <c r="AP39" t="n">
        <v>0.0</v>
      </c>
      <c r="AQ39"/>
      <c r="AR39" t="n">
        <v>0.01</v>
      </c>
      <c r="AS39" t="n">
        <v>0.01</v>
      </c>
      <c r="AT39" s="5" t="inlineStr">
        <is>
          <t>AUD</t>
        </is>
      </c>
      <c r="AU39" t="inlineStr">
        <is>
          <t>Company Owned</t>
        </is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t="n">
        <v>0.0</v>
      </c>
      <c r="BK39"/>
      <c r="BL39"/>
      <c r="BM39"/>
      <c r="BN39"/>
      <c r="BO39"/>
      <c r="BP39"/>
      <c r="BQ39"/>
      <c r="BR39"/>
      <c r="BS39"/>
      <c r="BT39"/>
      <c r="BU39" t="inlineStr">
        <is>
          <t>Yes</t>
        </is>
      </c>
      <c r="BV39"/>
      <c r="BW39"/>
      <c r="BX39"/>
    </row>
    <row r="40">
      <c r="A40" s="5" t="inlineStr">
        <is>
          <t>SERV</t>
        </is>
      </c>
      <c r="B40" s="5" t="inlineStr">
        <is>
          <t>130716</t>
        </is>
      </c>
      <c r="C40" s="5" t="inlineStr">
        <is>
          <t>Tee Brass 3/4 Fi</t>
        </is>
      </c>
      <c r="D40" s="5" t="inlineStr">
        <is>
          <t>*</t>
        </is>
      </c>
      <c r="E40" s="5" t="inlineStr">
        <is>
          <t>602-022</t>
        </is>
      </c>
      <c r="F40" s="5" t="inlineStr">
        <is>
          <t>*</t>
        </is>
      </c>
      <c r="G40" s="5" t="inlineStr">
        <is>
          <t>*</t>
        </is>
      </c>
      <c r="H40"/>
      <c r="I40"/>
      <c r="J40" s="5" t="inlineStr">
        <is>
          <t>0</t>
        </is>
      </c>
      <c r="K40" s="5" t="inlineStr">
        <is>
          <t>*</t>
        </is>
      </c>
      <c r="L40" t="n">
        <v>0.0</v>
      </c>
      <c r="M40" s="5" t="inlineStr">
        <is>
          <t>602</t>
        </is>
      </c>
      <c r="N40" s="5" t="inlineStr">
        <is>
          <t xml:space="preserve">  -</t>
        </is>
      </c>
      <c r="O40" s="5" t="inlineStr">
        <is>
          <t xml:space="preserve">  -</t>
        </is>
      </c>
      <c r="P40" s="5" t="inlineStr">
        <is>
          <t xml:space="preserve">  -</t>
        </is>
      </c>
      <c r="Q40" s="5" t="inlineStr">
        <is>
          <t>022</t>
        </is>
      </c>
      <c r="R40"/>
      <c r="S40" t="n">
        <v>1.0</v>
      </c>
      <c r="T40"/>
      <c r="U40" t="n">
        <v>1.0</v>
      </c>
      <c r="V40"/>
      <c r="W40" t="n">
        <v>0.0</v>
      </c>
      <c r="X40" t="n">
        <v>0.0</v>
      </c>
      <c r="Y40" t="n">
        <v>0.0</v>
      </c>
      <c r="Z40"/>
      <c r="AA40" t="n">
        <v>0.0</v>
      </c>
      <c r="AB40"/>
      <c r="AC40" t="n">
        <v>1.0</v>
      </c>
      <c r="AD40" s="5" t="inlineStr">
        <is>
          <t>pcs</t>
        </is>
      </c>
      <c r="AE40"/>
      <c r="AF40" s="5" t="inlineStr">
        <is>
          <t>pcs</t>
        </is>
      </c>
      <c r="AG40"/>
      <c r="AH40" t="inlineStr">
        <is>
          <t>No</t>
        </is>
      </c>
      <c r="AI40" s="2" t="n">
        <v>45841.40875</v>
      </c>
      <c r="AJ40" s="1" t="n">
        <f>DATE(2025,7,3)</f>
        <v>0.0</v>
      </c>
      <c r="AK40" t="inlineStr">
        <is>
          <t>Picking</t>
        </is>
      </c>
      <c r="AL40" s="2" t="n">
        <v>41183.43578703704</v>
      </c>
      <c r="AM40"/>
      <c r="AN40"/>
      <c r="AO40" t="n">
        <v>0.0</v>
      </c>
      <c r="AP40" t="n">
        <v>0.0</v>
      </c>
      <c r="AQ40"/>
      <c r="AR40" t="n">
        <v>4.972165365012611</v>
      </c>
      <c r="AS40" t="n">
        <v>4.972165365012611</v>
      </c>
      <c r="AT40" s="5" t="inlineStr">
        <is>
          <t>AUD</t>
        </is>
      </c>
      <c r="AU40" t="inlineStr">
        <is>
          <t>Company Owned</t>
        </is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t="n">
        <v>0.0</v>
      </c>
      <c r="BK40"/>
      <c r="BL40"/>
      <c r="BM40"/>
      <c r="BN40"/>
      <c r="BO40"/>
      <c r="BP40"/>
      <c r="BQ40"/>
      <c r="BR40"/>
      <c r="BS40"/>
      <c r="BT40"/>
      <c r="BU40" t="inlineStr">
        <is>
          <t>Yes</t>
        </is>
      </c>
      <c r="BV40"/>
      <c r="BW40"/>
      <c r="BX40"/>
    </row>
    <row r="41">
      <c r="A41" s="5" t="inlineStr">
        <is>
          <t>SERV</t>
        </is>
      </c>
      <c r="B41" s="5" t="inlineStr">
        <is>
          <t>130793</t>
        </is>
      </c>
      <c r="C41" s="5" t="inlineStr">
        <is>
          <t>Bush Reducing Brass 3/8 X 1/8</t>
        </is>
      </c>
      <c r="D41" s="5" t="inlineStr">
        <is>
          <t>*</t>
        </is>
      </c>
      <c r="E41" s="5" t="inlineStr">
        <is>
          <t>602-022</t>
        </is>
      </c>
      <c r="F41" s="5" t="inlineStr">
        <is>
          <t>*</t>
        </is>
      </c>
      <c r="G41" s="5" t="inlineStr">
        <is>
          <t>*</t>
        </is>
      </c>
      <c r="H41"/>
      <c r="I41"/>
      <c r="J41" s="5" t="inlineStr">
        <is>
          <t>0</t>
        </is>
      </c>
      <c r="K41" s="5" t="inlineStr">
        <is>
          <t>*</t>
        </is>
      </c>
      <c r="L41" t="n">
        <v>0.0</v>
      </c>
      <c r="M41" s="5" t="inlineStr">
        <is>
          <t>602</t>
        </is>
      </c>
      <c r="N41" s="5" t="inlineStr">
        <is>
          <t xml:space="preserve">  -</t>
        </is>
      </c>
      <c r="O41" s="5" t="inlineStr">
        <is>
          <t xml:space="preserve">  -</t>
        </is>
      </c>
      <c r="P41" s="5" t="inlineStr">
        <is>
          <t xml:space="preserve">  -</t>
        </is>
      </c>
      <c r="Q41" s="5" t="inlineStr">
        <is>
          <t>022</t>
        </is>
      </c>
      <c r="R41"/>
      <c r="S41" t="n">
        <v>3.0</v>
      </c>
      <c r="T41"/>
      <c r="U41" t="n">
        <v>3.0</v>
      </c>
      <c r="V41"/>
      <c r="W41" t="n">
        <v>0.0</v>
      </c>
      <c r="X41" t="n">
        <v>0.0</v>
      </c>
      <c r="Y41" t="n">
        <v>0.0</v>
      </c>
      <c r="Z41"/>
      <c r="AA41" t="n">
        <v>0.0</v>
      </c>
      <c r="AB41"/>
      <c r="AC41" t="n">
        <v>3.0</v>
      </c>
      <c r="AD41" s="5" t="inlineStr">
        <is>
          <t>pcs</t>
        </is>
      </c>
      <c r="AE41"/>
      <c r="AF41" s="5" t="inlineStr">
        <is>
          <t>pcs</t>
        </is>
      </c>
      <c r="AG41"/>
      <c r="AH41" t="inlineStr">
        <is>
          <t>No</t>
        </is>
      </c>
      <c r="AI41" s="2" t="n">
        <v>45841.40875</v>
      </c>
      <c r="AJ41" s="1" t="n">
        <f>DATE(2025,7,3)</f>
        <v>0.0</v>
      </c>
      <c r="AK41" t="inlineStr">
        <is>
          <t>Picking</t>
        </is>
      </c>
      <c r="AL41" s="2" t="n">
        <v>44336.59244212963</v>
      </c>
      <c r="AM41"/>
      <c r="AN41"/>
      <c r="AO41" t="n">
        <v>0.0</v>
      </c>
      <c r="AP41" t="n">
        <v>0.0</v>
      </c>
      <c r="AQ41"/>
      <c r="AR41" t="n">
        <v>0.01</v>
      </c>
      <c r="AS41" t="n">
        <v>0.03</v>
      </c>
      <c r="AT41" s="5" t="inlineStr">
        <is>
          <t>AUD</t>
        </is>
      </c>
      <c r="AU41" t="inlineStr">
        <is>
          <t>Company Owned</t>
        </is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t="n">
        <v>0.0</v>
      </c>
      <c r="BK41"/>
      <c r="BL41"/>
      <c r="BM41"/>
      <c r="BN41"/>
      <c r="BO41"/>
      <c r="BP41"/>
      <c r="BQ41"/>
      <c r="BR41"/>
      <c r="BS41"/>
      <c r="BT41"/>
      <c r="BU41" t="inlineStr">
        <is>
          <t>Yes</t>
        </is>
      </c>
      <c r="BV41"/>
      <c r="BW41"/>
      <c r="BX41"/>
    </row>
    <row r="42">
      <c r="A42" s="5" t="inlineStr">
        <is>
          <t>SERV</t>
        </is>
      </c>
      <c r="B42" s="5" t="inlineStr">
        <is>
          <t>130930</t>
        </is>
      </c>
      <c r="C42" s="5" t="inlineStr">
        <is>
          <t>Tee Brass 1/4 C X 1/4 C X 1/4 C Petrol</t>
        </is>
      </c>
      <c r="D42" s="5" t="inlineStr">
        <is>
          <t>*</t>
        </is>
      </c>
      <c r="E42" s="5" t="inlineStr">
        <is>
          <t>602-022</t>
        </is>
      </c>
      <c r="F42" s="5" t="inlineStr">
        <is>
          <t>*</t>
        </is>
      </c>
      <c r="G42" s="5" t="inlineStr">
        <is>
          <t>*</t>
        </is>
      </c>
      <c r="H42"/>
      <c r="I42"/>
      <c r="J42" s="5" t="inlineStr">
        <is>
          <t>0</t>
        </is>
      </c>
      <c r="K42" s="5" t="inlineStr">
        <is>
          <t>*</t>
        </is>
      </c>
      <c r="L42" t="n">
        <v>0.0</v>
      </c>
      <c r="M42" s="5" t="inlineStr">
        <is>
          <t>602</t>
        </is>
      </c>
      <c r="N42" s="5" t="inlineStr">
        <is>
          <t xml:space="preserve">  -</t>
        </is>
      </c>
      <c r="O42" s="5" t="inlineStr">
        <is>
          <t xml:space="preserve">  -</t>
        </is>
      </c>
      <c r="P42" s="5" t="inlineStr">
        <is>
          <t xml:space="preserve">  -</t>
        </is>
      </c>
      <c r="Q42" s="5" t="inlineStr">
        <is>
          <t>022</t>
        </is>
      </c>
      <c r="R42"/>
      <c r="S42" t="n">
        <v>1.0</v>
      </c>
      <c r="T42"/>
      <c r="U42" t="n">
        <v>1.0</v>
      </c>
      <c r="V42"/>
      <c r="W42" t="n">
        <v>0.0</v>
      </c>
      <c r="X42" t="n">
        <v>0.0</v>
      </c>
      <c r="Y42" t="n">
        <v>0.0</v>
      </c>
      <c r="Z42"/>
      <c r="AA42" t="n">
        <v>0.0</v>
      </c>
      <c r="AB42"/>
      <c r="AC42" t="n">
        <v>1.0</v>
      </c>
      <c r="AD42" s="5" t="inlineStr">
        <is>
          <t>pcs</t>
        </is>
      </c>
      <c r="AE42"/>
      <c r="AF42" s="5" t="inlineStr">
        <is>
          <t>pcs</t>
        </is>
      </c>
      <c r="AG42"/>
      <c r="AH42" t="inlineStr">
        <is>
          <t>No</t>
        </is>
      </c>
      <c r="AI42" s="2" t="n">
        <v>45841.40875</v>
      </c>
      <c r="AJ42" s="1" t="n">
        <f>DATE(2025,7,3)</f>
        <v>0.0</v>
      </c>
      <c r="AK42" t="inlineStr">
        <is>
          <t>Picking</t>
        </is>
      </c>
      <c r="AL42" s="2" t="n">
        <v>44336.592569444445</v>
      </c>
      <c r="AM42"/>
      <c r="AN42"/>
      <c r="AO42" t="n">
        <v>0.0</v>
      </c>
      <c r="AP42" t="n">
        <v>0.0</v>
      </c>
      <c r="AQ42"/>
      <c r="AR42" t="n">
        <v>0.01</v>
      </c>
      <c r="AS42" t="n">
        <v>0.01</v>
      </c>
      <c r="AT42" s="5" t="inlineStr">
        <is>
          <t>AUD</t>
        </is>
      </c>
      <c r="AU42" t="inlineStr">
        <is>
          <t>Company Owned</t>
        </is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t="n">
        <v>0.0</v>
      </c>
      <c r="BK42"/>
      <c r="BL42"/>
      <c r="BM42"/>
      <c r="BN42"/>
      <c r="BO42"/>
      <c r="BP42"/>
      <c r="BQ42"/>
      <c r="BR42"/>
      <c r="BS42"/>
      <c r="BT42"/>
      <c r="BU42" t="inlineStr">
        <is>
          <t>Yes</t>
        </is>
      </c>
      <c r="BV42"/>
      <c r="BW42"/>
      <c r="BX42"/>
    </row>
    <row r="43">
      <c r="A43" s="5" t="inlineStr">
        <is>
          <t>SERV</t>
        </is>
      </c>
      <c r="B43" s="5" t="inlineStr">
        <is>
          <t>131123</t>
        </is>
      </c>
      <c r="C43" s="5" t="inlineStr">
        <is>
          <t>Strainer Steam 1/2" S/S Y Type</t>
        </is>
      </c>
      <c r="D43" s="5" t="inlineStr">
        <is>
          <t>*</t>
        </is>
      </c>
      <c r="E43" s="5" t="inlineStr">
        <is>
          <t>602-060</t>
        </is>
      </c>
      <c r="F43" s="5" t="inlineStr">
        <is>
          <t>*</t>
        </is>
      </c>
      <c r="G43" s="5" t="inlineStr">
        <is>
          <t>*</t>
        </is>
      </c>
      <c r="H43"/>
      <c r="I43"/>
      <c r="J43" s="5" t="inlineStr">
        <is>
          <t>1</t>
        </is>
      </c>
      <c r="K43" s="5" t="inlineStr">
        <is>
          <t>*</t>
        </is>
      </c>
      <c r="L43" t="n">
        <v>0.0</v>
      </c>
      <c r="M43" s="5" t="inlineStr">
        <is>
          <t>602</t>
        </is>
      </c>
      <c r="N43" s="5" t="inlineStr">
        <is>
          <t xml:space="preserve">  -</t>
        </is>
      </c>
      <c r="O43" s="5" t="inlineStr">
        <is>
          <t xml:space="preserve">  -</t>
        </is>
      </c>
      <c r="P43" s="5" t="inlineStr">
        <is>
          <t xml:space="preserve">  -</t>
        </is>
      </c>
      <c r="Q43" s="5" t="inlineStr">
        <is>
          <t>060</t>
        </is>
      </c>
      <c r="R43"/>
      <c r="S43" t="n">
        <v>1.0</v>
      </c>
      <c r="T43"/>
      <c r="U43" t="n">
        <v>1.0</v>
      </c>
      <c r="V43"/>
      <c r="W43" t="n">
        <v>0.0</v>
      </c>
      <c r="X43" t="n">
        <v>0.0</v>
      </c>
      <c r="Y43" t="n">
        <v>0.0</v>
      </c>
      <c r="Z43"/>
      <c r="AA43" t="n">
        <v>0.0</v>
      </c>
      <c r="AB43"/>
      <c r="AC43" t="n">
        <v>1.0</v>
      </c>
      <c r="AD43" s="5" t="inlineStr">
        <is>
          <t>pcs</t>
        </is>
      </c>
      <c r="AE43"/>
      <c r="AF43" s="5" t="inlineStr">
        <is>
          <t>pcs</t>
        </is>
      </c>
      <c r="AG43"/>
      <c r="AH43" t="inlineStr">
        <is>
          <t>No</t>
        </is>
      </c>
      <c r="AI43" s="2" t="n">
        <v>45841.408784722225</v>
      </c>
      <c r="AJ43" s="1" t="n">
        <f>DATE(2025,7,3)</f>
        <v>0.0</v>
      </c>
      <c r="AK43" t="inlineStr">
        <is>
          <t>Picking</t>
        </is>
      </c>
      <c r="AL43" s="2" t="n">
        <v>42320.443391203706</v>
      </c>
      <c r="AM43"/>
      <c r="AN43"/>
      <c r="AO43" t="n">
        <v>0.0</v>
      </c>
      <c r="AP43" t="n">
        <v>0.0</v>
      </c>
      <c r="AQ43"/>
      <c r="AR43" t="n">
        <v>25.0</v>
      </c>
      <c r="AS43" t="n">
        <v>25.0</v>
      </c>
      <c r="AT43" s="5" t="inlineStr">
        <is>
          <t>AUD</t>
        </is>
      </c>
      <c r="AU43" t="inlineStr">
        <is>
          <t>Company Owned</t>
        </is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t="n">
        <v>0.0</v>
      </c>
      <c r="BK43"/>
      <c r="BL43"/>
      <c r="BM43"/>
      <c r="BN43"/>
      <c r="BO43"/>
      <c r="BP43"/>
      <c r="BQ43"/>
      <c r="BR43"/>
      <c r="BS43"/>
      <c r="BT43"/>
      <c r="BU43" t="inlineStr">
        <is>
          <t>Yes</t>
        </is>
      </c>
      <c r="BV43"/>
      <c r="BW43"/>
      <c r="BX43"/>
    </row>
    <row r="44">
      <c r="A44" s="5" t="inlineStr">
        <is>
          <t>SERV</t>
        </is>
      </c>
      <c r="B44" s="5" t="inlineStr">
        <is>
          <t>131282</t>
        </is>
      </c>
      <c r="C44" s="5" t="inlineStr">
        <is>
          <t>Anode Magnesium S/G</t>
        </is>
      </c>
      <c r="D44" s="5" t="inlineStr">
        <is>
          <t>*</t>
        </is>
      </c>
      <c r="E44" s="5" t="inlineStr">
        <is>
          <t>602-016</t>
        </is>
      </c>
      <c r="F44" s="5" t="inlineStr">
        <is>
          <t>*</t>
        </is>
      </c>
      <c r="G44" s="5" t="inlineStr">
        <is>
          <t>*</t>
        </is>
      </c>
      <c r="H44"/>
      <c r="I44"/>
      <c r="J44" s="5" t="inlineStr">
        <is>
          <t>0</t>
        </is>
      </c>
      <c r="K44" s="5" t="inlineStr">
        <is>
          <t>*</t>
        </is>
      </c>
      <c r="L44" t="n">
        <v>0.0</v>
      </c>
      <c r="M44" s="5" t="inlineStr">
        <is>
          <t>602</t>
        </is>
      </c>
      <c r="N44" s="5" t="inlineStr">
        <is>
          <t xml:space="preserve">  -</t>
        </is>
      </c>
      <c r="O44" s="5" t="inlineStr">
        <is>
          <t xml:space="preserve">  -</t>
        </is>
      </c>
      <c r="P44" s="5" t="inlineStr">
        <is>
          <t xml:space="preserve">  -</t>
        </is>
      </c>
      <c r="Q44" s="5" t="inlineStr">
        <is>
          <t>016</t>
        </is>
      </c>
      <c r="R44"/>
      <c r="S44" t="n">
        <v>2.0</v>
      </c>
      <c r="T44"/>
      <c r="U44" t="n">
        <v>2.0</v>
      </c>
      <c r="V44"/>
      <c r="W44" t="n">
        <v>0.0</v>
      </c>
      <c r="X44" t="n">
        <v>0.0</v>
      </c>
      <c r="Y44" t="n">
        <v>0.0</v>
      </c>
      <c r="Z44"/>
      <c r="AA44" t="n">
        <v>0.0</v>
      </c>
      <c r="AB44"/>
      <c r="AC44" t="n">
        <v>2.0</v>
      </c>
      <c r="AD44" s="5" t="inlineStr">
        <is>
          <t>pcs</t>
        </is>
      </c>
      <c r="AE44"/>
      <c r="AF44" s="5" t="inlineStr">
        <is>
          <t>pcs</t>
        </is>
      </c>
      <c r="AG44"/>
      <c r="AH44" t="inlineStr">
        <is>
          <t>No</t>
        </is>
      </c>
      <c r="AI44" s="2" t="n">
        <v>45841.408738425926</v>
      </c>
      <c r="AJ44" s="1" t="n">
        <f>DATE(2025,7,3)</f>
        <v>0.0</v>
      </c>
      <c r="AK44" t="inlineStr">
        <is>
          <t>Picking</t>
        </is>
      </c>
      <c r="AL44" s="2" t="n">
        <v>41183.43697916667</v>
      </c>
      <c r="AM44"/>
      <c r="AN44"/>
      <c r="AO44" t="n">
        <v>0.0</v>
      </c>
      <c r="AP44" t="n">
        <v>0.0</v>
      </c>
      <c r="AQ44"/>
      <c r="AR44" t="n">
        <v>31.810183100490903</v>
      </c>
      <c r="AS44" t="n">
        <v>63.620366200981806</v>
      </c>
      <c r="AT44" s="5" t="inlineStr">
        <is>
          <t>AUD</t>
        </is>
      </c>
      <c r="AU44" t="inlineStr">
        <is>
          <t>Company Owned</t>
        </is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t="n">
        <v>0.0</v>
      </c>
      <c r="BK44"/>
      <c r="BL44"/>
      <c r="BM44"/>
      <c r="BN44"/>
      <c r="BO44"/>
      <c r="BP44"/>
      <c r="BQ44"/>
      <c r="BR44"/>
      <c r="BS44"/>
      <c r="BT44"/>
      <c r="BU44" t="inlineStr">
        <is>
          <t>Yes</t>
        </is>
      </c>
      <c r="BV44"/>
      <c r="BW44"/>
      <c r="BX44"/>
    </row>
    <row r="45">
      <c r="A45" s="5" t="inlineStr">
        <is>
          <t>SERV</t>
        </is>
      </c>
      <c r="B45" s="5" t="inlineStr">
        <is>
          <t>131615</t>
        </is>
      </c>
      <c r="C45" s="5" t="inlineStr">
        <is>
          <t>Gauge Compound 80mm Dia 100-0-500</t>
        </is>
      </c>
      <c r="D45" s="5" t="inlineStr">
        <is>
          <t>*</t>
        </is>
      </c>
      <c r="E45" s="5" t="inlineStr">
        <is>
          <t>602-008</t>
        </is>
      </c>
      <c r="F45" s="5" t="inlineStr">
        <is>
          <t>*</t>
        </is>
      </c>
      <c r="G45" s="5" t="inlineStr">
        <is>
          <t>*</t>
        </is>
      </c>
      <c r="H45"/>
      <c r="I45"/>
      <c r="J45" s="5" t="inlineStr">
        <is>
          <t>0</t>
        </is>
      </c>
      <c r="K45" s="5" t="inlineStr">
        <is>
          <t>*</t>
        </is>
      </c>
      <c r="L45" t="n">
        <v>0.0</v>
      </c>
      <c r="M45" s="5" t="inlineStr">
        <is>
          <t>602</t>
        </is>
      </c>
      <c r="N45" s="5" t="inlineStr">
        <is>
          <t xml:space="preserve">  -</t>
        </is>
      </c>
      <c r="O45" s="5" t="inlineStr">
        <is>
          <t xml:space="preserve">  -</t>
        </is>
      </c>
      <c r="P45" s="5" t="inlineStr">
        <is>
          <t xml:space="preserve">  -</t>
        </is>
      </c>
      <c r="Q45" s="5" t="inlineStr">
        <is>
          <t>008</t>
        </is>
      </c>
      <c r="R45"/>
      <c r="S45" t="n">
        <v>1.0</v>
      </c>
      <c r="T45"/>
      <c r="U45" t="n">
        <v>1.0</v>
      </c>
      <c r="V45"/>
      <c r="W45" t="n">
        <v>0.0</v>
      </c>
      <c r="X45" t="n">
        <v>0.0</v>
      </c>
      <c r="Y45" t="n">
        <v>0.0</v>
      </c>
      <c r="Z45"/>
      <c r="AA45" t="n">
        <v>0.0</v>
      </c>
      <c r="AB45"/>
      <c r="AC45" t="n">
        <v>1.0</v>
      </c>
      <c r="AD45" s="5" t="inlineStr">
        <is>
          <t>pcs</t>
        </is>
      </c>
      <c r="AE45"/>
      <c r="AF45" s="5" t="inlineStr">
        <is>
          <t>pcs</t>
        </is>
      </c>
      <c r="AG45"/>
      <c r="AH45" t="inlineStr">
        <is>
          <t>No</t>
        </is>
      </c>
      <c r="AI45" s="2" t="n">
        <v>45841.40872685185</v>
      </c>
      <c r="AJ45" s="1" t="n">
        <f>DATE(2025,7,3)</f>
        <v>0.0</v>
      </c>
      <c r="AK45" t="inlineStr">
        <is>
          <t>Picking</t>
        </is>
      </c>
      <c r="AL45" s="2" t="n">
        <v>45246.538564814815</v>
      </c>
      <c r="AM45"/>
      <c r="AN45"/>
      <c r="AO45" t="n">
        <v>0.0</v>
      </c>
      <c r="AP45" t="n">
        <v>0.0</v>
      </c>
      <c r="AQ45"/>
      <c r="AR45" t="n">
        <v>144.082</v>
      </c>
      <c r="AS45" t="n">
        <v>144.082</v>
      </c>
      <c r="AT45" s="5" t="inlineStr">
        <is>
          <t>AUD</t>
        </is>
      </c>
      <c r="AU45" t="inlineStr">
        <is>
          <t>Company Owned</t>
        </is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t="n">
        <v>0.0</v>
      </c>
      <c r="BK45"/>
      <c r="BL45"/>
      <c r="BM45"/>
      <c r="BN45"/>
      <c r="BO45"/>
      <c r="BP45"/>
      <c r="BQ45"/>
      <c r="BR45"/>
      <c r="BS45"/>
      <c r="BT45"/>
      <c r="BU45" t="inlineStr">
        <is>
          <t>Yes</t>
        </is>
      </c>
      <c r="BV45"/>
      <c r="BW45"/>
      <c r="BX45"/>
    </row>
    <row r="46">
      <c r="A46" s="5" t="inlineStr">
        <is>
          <t>SERV</t>
        </is>
      </c>
      <c r="B46" s="5" t="inlineStr">
        <is>
          <t>131775</t>
        </is>
      </c>
      <c r="C46" s="5" t="inlineStr">
        <is>
          <t>Valve Solenoid Steam 3/8</t>
        </is>
      </c>
      <c r="D46" s="5" t="inlineStr">
        <is>
          <t>*</t>
        </is>
      </c>
      <c r="E46" s="5" t="inlineStr">
        <is>
          <t>602-020</t>
        </is>
      </c>
      <c r="F46" s="5" t="inlineStr">
        <is>
          <t>*</t>
        </is>
      </c>
      <c r="G46" s="5" t="inlineStr">
        <is>
          <t>*</t>
        </is>
      </c>
      <c r="H46"/>
      <c r="I46"/>
      <c r="J46" s="5" t="inlineStr">
        <is>
          <t>0</t>
        </is>
      </c>
      <c r="K46" s="5" t="inlineStr">
        <is>
          <t>*</t>
        </is>
      </c>
      <c r="L46" t="n">
        <v>0.0</v>
      </c>
      <c r="M46" s="5" t="inlineStr">
        <is>
          <t>602</t>
        </is>
      </c>
      <c r="N46" s="5" t="inlineStr">
        <is>
          <t xml:space="preserve">  -</t>
        </is>
      </c>
      <c r="O46" s="5" t="inlineStr">
        <is>
          <t xml:space="preserve">  -</t>
        </is>
      </c>
      <c r="P46" s="5" t="inlineStr">
        <is>
          <t xml:space="preserve">  -</t>
        </is>
      </c>
      <c r="Q46" s="5" t="inlineStr">
        <is>
          <t>020</t>
        </is>
      </c>
      <c r="R46"/>
      <c r="S46" t="n">
        <v>2.0</v>
      </c>
      <c r="T46"/>
      <c r="U46" t="n">
        <v>2.0</v>
      </c>
      <c r="V46"/>
      <c r="W46" t="n">
        <v>0.0</v>
      </c>
      <c r="X46" t="n">
        <v>0.0</v>
      </c>
      <c r="Y46" t="n">
        <v>0.0</v>
      </c>
      <c r="Z46"/>
      <c r="AA46" t="n">
        <v>0.0</v>
      </c>
      <c r="AB46"/>
      <c r="AC46" t="n">
        <v>2.0</v>
      </c>
      <c r="AD46" s="5" t="inlineStr">
        <is>
          <t>pcs</t>
        </is>
      </c>
      <c r="AE46"/>
      <c r="AF46" s="5" t="inlineStr">
        <is>
          <t>pcs</t>
        </is>
      </c>
      <c r="AG46"/>
      <c r="AH46" t="inlineStr">
        <is>
          <t>No</t>
        </is>
      </c>
      <c r="AI46" s="2" t="n">
        <v>45841.40875</v>
      </c>
      <c r="AJ46" s="1" t="n">
        <f>DATE(2025,7,3)</f>
        <v>0.0</v>
      </c>
      <c r="AK46" t="inlineStr">
        <is>
          <t>Picking</t>
        </is>
      </c>
      <c r="AL46" s="2" t="n">
        <v>44390.34125</v>
      </c>
      <c r="AM46"/>
      <c r="AN46"/>
      <c r="AO46" t="n">
        <v>0.0</v>
      </c>
      <c r="AP46" t="n">
        <v>0.0</v>
      </c>
      <c r="AQ46"/>
      <c r="AR46" t="n">
        <v>123.33091571644178</v>
      </c>
      <c r="AS46" t="n">
        <v>246.66183143288356</v>
      </c>
      <c r="AT46" s="5" t="inlineStr">
        <is>
          <t>AUD</t>
        </is>
      </c>
      <c r="AU46" t="inlineStr">
        <is>
          <t>Company Owned</t>
        </is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t="n">
        <v>0.0</v>
      </c>
      <c r="BK46"/>
      <c r="BL46"/>
      <c r="BM46"/>
      <c r="BN46"/>
      <c r="BO46"/>
      <c r="BP46"/>
      <c r="BQ46"/>
      <c r="BR46"/>
      <c r="BS46"/>
      <c r="BT46"/>
      <c r="BU46" t="inlineStr">
        <is>
          <t>Yes</t>
        </is>
      </c>
      <c r="BV46"/>
      <c r="BW46"/>
      <c r="BX46"/>
    </row>
    <row r="47">
      <c r="A47" s="5" t="inlineStr">
        <is>
          <t>SERV</t>
        </is>
      </c>
      <c r="B47" s="5" t="inlineStr">
        <is>
          <t>131980</t>
        </is>
      </c>
      <c r="C47" s="5" t="inlineStr">
        <is>
          <t>Gasket Door Manual Blue N.393-Se1057</t>
        </is>
      </c>
      <c r="D47" s="5" t="inlineStr">
        <is>
          <t>*</t>
        </is>
      </c>
      <c r="E47" s="5" t="inlineStr">
        <is>
          <t>602-024</t>
        </is>
      </c>
      <c r="F47" s="5" t="inlineStr">
        <is>
          <t>*</t>
        </is>
      </c>
      <c r="G47" s="5" t="inlineStr">
        <is>
          <t>*</t>
        </is>
      </c>
      <c r="H47"/>
      <c r="I47"/>
      <c r="J47" s="5" t="inlineStr">
        <is>
          <t>0</t>
        </is>
      </c>
      <c r="K47" s="5" t="inlineStr">
        <is>
          <t>*</t>
        </is>
      </c>
      <c r="L47" t="n">
        <v>0.0</v>
      </c>
      <c r="M47" s="5" t="inlineStr">
        <is>
          <t>602</t>
        </is>
      </c>
      <c r="N47" s="5" t="inlineStr">
        <is>
          <t xml:space="preserve">  -</t>
        </is>
      </c>
      <c r="O47" s="5" t="inlineStr">
        <is>
          <t xml:space="preserve">  -</t>
        </is>
      </c>
      <c r="P47" s="5" t="inlineStr">
        <is>
          <t xml:space="preserve">  -</t>
        </is>
      </c>
      <c r="Q47" s="5" t="inlineStr">
        <is>
          <t>024</t>
        </is>
      </c>
      <c r="R47"/>
      <c r="S47" t="n">
        <v>6.0</v>
      </c>
      <c r="T47"/>
      <c r="U47" t="n">
        <v>6.0</v>
      </c>
      <c r="V47"/>
      <c r="W47" t="n">
        <v>0.0</v>
      </c>
      <c r="X47" t="n">
        <v>0.0</v>
      </c>
      <c r="Y47" t="n">
        <v>0.0</v>
      </c>
      <c r="Z47"/>
      <c r="AA47" t="n">
        <v>0.0</v>
      </c>
      <c r="AB47"/>
      <c r="AC47" t="n">
        <v>6.0</v>
      </c>
      <c r="AD47" s="5" t="inlineStr">
        <is>
          <t>m</t>
        </is>
      </c>
      <c r="AE47"/>
      <c r="AF47" s="5" t="inlineStr">
        <is>
          <t>m</t>
        </is>
      </c>
      <c r="AG47"/>
      <c r="AH47" t="inlineStr">
        <is>
          <t>No</t>
        </is>
      </c>
      <c r="AI47" s="2" t="n">
        <v>45841.40898148148</v>
      </c>
      <c r="AJ47" s="1" t="n">
        <f>DATE(2023,6,30)</f>
        <v>0.0</v>
      </c>
      <c r="AK47" t="inlineStr">
        <is>
          <t>Picking</t>
        </is>
      </c>
      <c r="AL47" s="2" t="n">
        <v>44336.59269675926</v>
      </c>
      <c r="AM47"/>
      <c r="AN47"/>
      <c r="AO47" t="n">
        <v>0.0</v>
      </c>
      <c r="AP47" t="n">
        <v>0.0</v>
      </c>
      <c r="AQ47"/>
      <c r="AR47" t="n">
        <v>0.01</v>
      </c>
      <c r="AS47" t="n">
        <v>0.06</v>
      </c>
      <c r="AT47" s="5" t="inlineStr">
        <is>
          <t>AUD</t>
        </is>
      </c>
      <c r="AU47" t="inlineStr">
        <is>
          <t>Company Owned</t>
        </is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t="n">
        <v>0.0</v>
      </c>
      <c r="BK47"/>
      <c r="BL47"/>
      <c r="BM47"/>
      <c r="BN47"/>
      <c r="BO47"/>
      <c r="BP47"/>
      <c r="BQ47"/>
      <c r="BR47"/>
      <c r="BS47"/>
      <c r="BT47"/>
      <c r="BU47" t="inlineStr">
        <is>
          <t>Yes</t>
        </is>
      </c>
      <c r="BV47"/>
      <c r="BW47"/>
      <c r="BX47"/>
    </row>
    <row r="48">
      <c r="A48" s="5" t="inlineStr">
        <is>
          <t>SERV</t>
        </is>
      </c>
      <c r="B48" s="5" t="inlineStr">
        <is>
          <t>132016</t>
        </is>
      </c>
      <c r="C48" s="5" t="inlineStr">
        <is>
          <t>Switch Micro Burgess Crimr Long (OBS - Use 137467)</t>
        </is>
      </c>
      <c r="D48" s="5" t="inlineStr">
        <is>
          <t>*</t>
        </is>
      </c>
      <c r="E48" s="5" t="inlineStr">
        <is>
          <t>602-003</t>
        </is>
      </c>
      <c r="F48" s="5" t="inlineStr">
        <is>
          <t>*</t>
        </is>
      </c>
      <c r="G48" s="5" t="inlineStr">
        <is>
          <t>*</t>
        </is>
      </c>
      <c r="H48"/>
      <c r="I48"/>
      <c r="J48" s="5" t="inlineStr">
        <is>
          <t>0</t>
        </is>
      </c>
      <c r="K48" s="5" t="inlineStr">
        <is>
          <t>*</t>
        </is>
      </c>
      <c r="L48" t="n">
        <v>0.0</v>
      </c>
      <c r="M48" s="5" t="inlineStr">
        <is>
          <t>602</t>
        </is>
      </c>
      <c r="N48" s="5" t="inlineStr">
        <is>
          <t xml:space="preserve">  -</t>
        </is>
      </c>
      <c r="O48" s="5" t="inlineStr">
        <is>
          <t xml:space="preserve">  -</t>
        </is>
      </c>
      <c r="P48" s="5" t="inlineStr">
        <is>
          <t xml:space="preserve">  -</t>
        </is>
      </c>
      <c r="Q48" s="5" t="inlineStr">
        <is>
          <t>003</t>
        </is>
      </c>
      <c r="R48"/>
      <c r="S48" t="n">
        <v>4.0</v>
      </c>
      <c r="T48"/>
      <c r="U48" t="n">
        <v>4.0</v>
      </c>
      <c r="V48"/>
      <c r="W48" t="n">
        <v>0.0</v>
      </c>
      <c r="X48" t="n">
        <v>0.0</v>
      </c>
      <c r="Y48" t="n">
        <v>0.0</v>
      </c>
      <c r="Z48"/>
      <c r="AA48" t="n">
        <v>0.0</v>
      </c>
      <c r="AB48"/>
      <c r="AC48" t="n">
        <v>4.0</v>
      </c>
      <c r="AD48" s="5" t="inlineStr">
        <is>
          <t>pcs</t>
        </is>
      </c>
      <c r="AE48"/>
      <c r="AF48" s="5" t="inlineStr">
        <is>
          <t>pcs</t>
        </is>
      </c>
      <c r="AG48"/>
      <c r="AH48" t="inlineStr">
        <is>
          <t>No</t>
        </is>
      </c>
      <c r="AI48" s="2" t="n">
        <v>45841.4087037037</v>
      </c>
      <c r="AJ48" s="1" t="n">
        <f>DATE(2025,7,3)</f>
        <v>0.0</v>
      </c>
      <c r="AK48" t="inlineStr">
        <is>
          <t>Picking</t>
        </is>
      </c>
      <c r="AL48" s="2" t="n">
        <v>44336.59275462963</v>
      </c>
      <c r="AM48"/>
      <c r="AN48"/>
      <c r="AO48" t="n">
        <v>0.0</v>
      </c>
      <c r="AP48" t="n">
        <v>0.0</v>
      </c>
      <c r="AQ48"/>
      <c r="AR48" t="n">
        <v>0.01</v>
      </c>
      <c r="AS48" t="n">
        <v>0.04</v>
      </c>
      <c r="AT48" s="5" t="inlineStr">
        <is>
          <t>AUD</t>
        </is>
      </c>
      <c r="AU48" t="inlineStr">
        <is>
          <t>Company Owned</t>
        </is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t="n">
        <v>0.0</v>
      </c>
      <c r="BK48"/>
      <c r="BL48"/>
      <c r="BM48"/>
      <c r="BN48"/>
      <c r="BO48"/>
      <c r="BP48"/>
      <c r="BQ48"/>
      <c r="BR48"/>
      <c r="BS48"/>
      <c r="BT48"/>
      <c r="BU48" t="inlineStr">
        <is>
          <t>Yes</t>
        </is>
      </c>
      <c r="BV48"/>
      <c r="BW48"/>
      <c r="BX48"/>
    </row>
    <row r="49">
      <c r="A49" s="5" t="inlineStr">
        <is>
          <t>SERV</t>
        </is>
      </c>
      <c r="B49" s="5" t="inlineStr">
        <is>
          <t>132168</t>
        </is>
      </c>
      <c r="C49" s="5" t="inlineStr">
        <is>
          <t>Valve Solenoid Steam 3/4 - individually boxed</t>
        </is>
      </c>
      <c r="D49" s="5" t="inlineStr">
        <is>
          <t>*</t>
        </is>
      </c>
      <c r="E49" s="5" t="inlineStr">
        <is>
          <t>602-019</t>
        </is>
      </c>
      <c r="F49" s="5" t="inlineStr">
        <is>
          <t>*</t>
        </is>
      </c>
      <c r="G49" s="5" t="inlineStr">
        <is>
          <t>*</t>
        </is>
      </c>
      <c r="H49"/>
      <c r="I49"/>
      <c r="J49" s="5" t="inlineStr">
        <is>
          <t>0</t>
        </is>
      </c>
      <c r="K49" s="5" t="inlineStr">
        <is>
          <t>*</t>
        </is>
      </c>
      <c r="L49" t="n">
        <v>0.0</v>
      </c>
      <c r="M49" s="5" t="inlineStr">
        <is>
          <t>602</t>
        </is>
      </c>
      <c r="N49" s="5" t="inlineStr">
        <is>
          <t xml:space="preserve">  -</t>
        </is>
      </c>
      <c r="O49" s="5" t="inlineStr">
        <is>
          <t xml:space="preserve">  -</t>
        </is>
      </c>
      <c r="P49" s="5" t="inlineStr">
        <is>
          <t xml:space="preserve">  -</t>
        </is>
      </c>
      <c r="Q49" s="5" t="inlineStr">
        <is>
          <t>019</t>
        </is>
      </c>
      <c r="R49"/>
      <c r="S49" t="n">
        <v>3.0</v>
      </c>
      <c r="T49"/>
      <c r="U49" t="n">
        <v>3.0</v>
      </c>
      <c r="V49"/>
      <c r="W49" t="n">
        <v>0.0</v>
      </c>
      <c r="X49" t="n">
        <v>0.0</v>
      </c>
      <c r="Y49" t="n">
        <v>0.0</v>
      </c>
      <c r="Z49"/>
      <c r="AA49" t="n">
        <v>0.0</v>
      </c>
      <c r="AB49"/>
      <c r="AC49" t="n">
        <v>3.0</v>
      </c>
      <c r="AD49" s="5" t="inlineStr">
        <is>
          <t>pcs</t>
        </is>
      </c>
      <c r="AE49"/>
      <c r="AF49" s="5" t="inlineStr">
        <is>
          <t>pcs</t>
        </is>
      </c>
      <c r="AG49"/>
      <c r="AH49" t="inlineStr">
        <is>
          <t>No</t>
        </is>
      </c>
      <c r="AI49" s="2" t="n">
        <v>45841.40875</v>
      </c>
      <c r="AJ49" s="1" t="n">
        <f>DATE(2025,7,3)</f>
        <v>0.0</v>
      </c>
      <c r="AK49" t="inlineStr">
        <is>
          <t>Picking</t>
        </is>
      </c>
      <c r="AL49" s="2" t="n">
        <v>41183.43648148148</v>
      </c>
      <c r="AM49"/>
      <c r="AN49"/>
      <c r="AO49" t="n">
        <v>0.0</v>
      </c>
      <c r="AP49" t="n">
        <v>0.0</v>
      </c>
      <c r="AQ49"/>
      <c r="AR49" t="n">
        <v>284.3211918256538</v>
      </c>
      <c r="AS49" t="n">
        <v>852.9635754769613</v>
      </c>
      <c r="AT49" s="5" t="inlineStr">
        <is>
          <t>AUD</t>
        </is>
      </c>
      <c r="AU49" t="inlineStr">
        <is>
          <t>Company Owned</t>
        </is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t="n">
        <v>0.0</v>
      </c>
      <c r="BK49"/>
      <c r="BL49"/>
      <c r="BM49"/>
      <c r="BN49"/>
      <c r="BO49"/>
      <c r="BP49"/>
      <c r="BQ49"/>
      <c r="BR49"/>
      <c r="BS49"/>
      <c r="BT49"/>
      <c r="BU49" t="inlineStr">
        <is>
          <t>Yes</t>
        </is>
      </c>
      <c r="BV49"/>
      <c r="BW49"/>
      <c r="BX49"/>
    </row>
    <row r="50">
      <c r="A50" s="5" t="inlineStr">
        <is>
          <t>SERV</t>
        </is>
      </c>
      <c r="B50" s="5" t="inlineStr">
        <is>
          <t>132175</t>
        </is>
      </c>
      <c r="C50" s="5" t="inlineStr">
        <is>
          <t>Filter Air Domnick Hunter Zgpb.01V</t>
        </is>
      </c>
      <c r="D50" s="5" t="inlineStr">
        <is>
          <t>*</t>
        </is>
      </c>
      <c r="E50" s="5" t="inlineStr">
        <is>
          <t>602-016</t>
        </is>
      </c>
      <c r="F50" s="5" t="inlineStr">
        <is>
          <t>*</t>
        </is>
      </c>
      <c r="G50" s="5" t="inlineStr">
        <is>
          <t>*</t>
        </is>
      </c>
      <c r="H50"/>
      <c r="I50"/>
      <c r="J50" s="5" t="inlineStr">
        <is>
          <t>0</t>
        </is>
      </c>
      <c r="K50" s="5" t="inlineStr">
        <is>
          <t>*</t>
        </is>
      </c>
      <c r="L50" t="n">
        <v>0.0</v>
      </c>
      <c r="M50" s="5" t="inlineStr">
        <is>
          <t>602</t>
        </is>
      </c>
      <c r="N50" s="5" t="inlineStr">
        <is>
          <t xml:space="preserve">  -</t>
        </is>
      </c>
      <c r="O50" s="5" t="inlineStr">
        <is>
          <t xml:space="preserve">  -</t>
        </is>
      </c>
      <c r="P50" s="5" t="inlineStr">
        <is>
          <t xml:space="preserve">  -</t>
        </is>
      </c>
      <c r="Q50" s="5" t="inlineStr">
        <is>
          <t>016</t>
        </is>
      </c>
      <c r="R50"/>
      <c r="S50" t="n">
        <v>2.0</v>
      </c>
      <c r="T50"/>
      <c r="U50" t="n">
        <v>2.0</v>
      </c>
      <c r="V50"/>
      <c r="W50" t="n">
        <v>0.0</v>
      </c>
      <c r="X50" t="n">
        <v>0.0</v>
      </c>
      <c r="Y50" t="n">
        <v>0.0</v>
      </c>
      <c r="Z50"/>
      <c r="AA50" t="n">
        <v>0.0</v>
      </c>
      <c r="AB50"/>
      <c r="AC50" t="n">
        <v>2.0</v>
      </c>
      <c r="AD50" s="5" t="inlineStr">
        <is>
          <t>pcs</t>
        </is>
      </c>
      <c r="AE50"/>
      <c r="AF50" s="5" t="inlineStr">
        <is>
          <t>pcs</t>
        </is>
      </c>
      <c r="AG50"/>
      <c r="AH50" t="inlineStr">
        <is>
          <t>No</t>
        </is>
      </c>
      <c r="AI50" s="2" t="n">
        <v>46022.3496875</v>
      </c>
      <c r="AJ50" s="1" t="n">
        <f>DATE(2025,7,3)</f>
        <v>0.0</v>
      </c>
      <c r="AK50" t="inlineStr">
        <is>
          <t>Picking</t>
        </is>
      </c>
      <c r="AL50" s="2" t="n">
        <v>45938.39491898148</v>
      </c>
      <c r="AM50"/>
      <c r="AN50"/>
      <c r="AO50" t="n">
        <v>0.0</v>
      </c>
      <c r="AP50" t="n">
        <v>0.0</v>
      </c>
      <c r="AQ50"/>
      <c r="AR50" t="n">
        <v>85.58</v>
      </c>
      <c r="AS50" t="n">
        <v>171.16</v>
      </c>
      <c r="AT50" s="5" t="inlineStr">
        <is>
          <t>AUD</t>
        </is>
      </c>
      <c r="AU50" t="inlineStr">
        <is>
          <t>Company Owned</t>
        </is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t="n">
        <v>0.0</v>
      </c>
      <c r="BK50"/>
      <c r="BL50"/>
      <c r="BM50"/>
      <c r="BN50"/>
      <c r="BO50"/>
      <c r="BP50"/>
      <c r="BQ50"/>
      <c r="BR50"/>
      <c r="BS50"/>
      <c r="BT50"/>
      <c r="BU50" t="inlineStr">
        <is>
          <t>Yes</t>
        </is>
      </c>
      <c r="BV50"/>
      <c r="BW50"/>
      <c r="BX50"/>
    </row>
    <row r="51">
      <c r="A51" s="5" t="inlineStr">
        <is>
          <t>SERV</t>
        </is>
      </c>
      <c r="B51" s="5" t="inlineStr">
        <is>
          <t>132202</t>
        </is>
      </c>
      <c r="C51" s="5" t="inlineStr">
        <is>
          <t>Relay 2 Contact 240 Volt 2-13R</t>
        </is>
      </c>
      <c r="D51" s="5" t="inlineStr">
        <is>
          <t>*</t>
        </is>
      </c>
      <c r="E51" s="5" t="inlineStr">
        <is>
          <t>602-003</t>
        </is>
      </c>
      <c r="F51" s="5" t="inlineStr">
        <is>
          <t>*</t>
        </is>
      </c>
      <c r="G51" s="5" t="inlineStr">
        <is>
          <t>*</t>
        </is>
      </c>
      <c r="H51"/>
      <c r="I51"/>
      <c r="J51" s="5" t="inlineStr">
        <is>
          <t>0</t>
        </is>
      </c>
      <c r="K51" s="5" t="inlineStr">
        <is>
          <t>*</t>
        </is>
      </c>
      <c r="L51" t="n">
        <v>0.0</v>
      </c>
      <c r="M51" s="5" t="inlineStr">
        <is>
          <t>602</t>
        </is>
      </c>
      <c r="N51" s="5" t="inlineStr">
        <is>
          <t xml:space="preserve">  -</t>
        </is>
      </c>
      <c r="O51" s="5" t="inlineStr">
        <is>
          <t xml:space="preserve">  -</t>
        </is>
      </c>
      <c r="P51" s="5" t="inlineStr">
        <is>
          <t xml:space="preserve">  -</t>
        </is>
      </c>
      <c r="Q51" s="5" t="inlineStr">
        <is>
          <t>003</t>
        </is>
      </c>
      <c r="R51"/>
      <c r="S51" t="n">
        <v>2.0</v>
      </c>
      <c r="T51"/>
      <c r="U51" t="n">
        <v>2.0</v>
      </c>
      <c r="V51"/>
      <c r="W51" t="n">
        <v>0.0</v>
      </c>
      <c r="X51" t="n">
        <v>0.0</v>
      </c>
      <c r="Y51" t="n">
        <v>0.0</v>
      </c>
      <c r="Z51"/>
      <c r="AA51" t="n">
        <v>0.0</v>
      </c>
      <c r="AB51"/>
      <c r="AC51" t="n">
        <v>2.0</v>
      </c>
      <c r="AD51" s="5" t="inlineStr">
        <is>
          <t>pcs</t>
        </is>
      </c>
      <c r="AE51"/>
      <c r="AF51" s="5" t="inlineStr">
        <is>
          <t>pcs</t>
        </is>
      </c>
      <c r="AG51"/>
      <c r="AH51" t="inlineStr">
        <is>
          <t>No</t>
        </is>
      </c>
      <c r="AI51" s="2" t="n">
        <v>45841.4087037037</v>
      </c>
      <c r="AJ51" s="1" t="n">
        <f>DATE(2025,7,3)</f>
        <v>0.0</v>
      </c>
      <c r="AK51" t="inlineStr">
        <is>
          <t>Picking</t>
        </is>
      </c>
      <c r="AL51" s="2" t="n">
        <v>41183.43659722222</v>
      </c>
      <c r="AM51"/>
      <c r="AN51"/>
      <c r="AO51" t="n">
        <v>0.0</v>
      </c>
      <c r="AP51" t="n">
        <v>0.0</v>
      </c>
      <c r="AQ51"/>
      <c r="AR51" t="n">
        <v>27.093554929082465</v>
      </c>
      <c r="AS51" t="n">
        <v>54.18710985816493</v>
      </c>
      <c r="AT51" s="5" t="inlineStr">
        <is>
          <t>AUD</t>
        </is>
      </c>
      <c r="AU51" t="inlineStr">
        <is>
          <t>Company Owned</t>
        </is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t="n">
        <v>0.0</v>
      </c>
      <c r="BK51"/>
      <c r="BL51"/>
      <c r="BM51"/>
      <c r="BN51"/>
      <c r="BO51"/>
      <c r="BP51"/>
      <c r="BQ51"/>
      <c r="BR51"/>
      <c r="BS51"/>
      <c r="BT51"/>
      <c r="BU51" t="inlineStr">
        <is>
          <t>Yes</t>
        </is>
      </c>
      <c r="BV51"/>
      <c r="BW51"/>
      <c r="BX51"/>
    </row>
    <row r="52">
      <c r="A52" s="5" t="inlineStr">
        <is>
          <t>SERV</t>
        </is>
      </c>
      <c r="B52" s="5" t="inlineStr">
        <is>
          <t>132217</t>
        </is>
      </c>
      <c r="C52" s="5" t="inlineStr">
        <is>
          <t>Base Relay 2-13R 2C</t>
        </is>
      </c>
      <c r="D52" s="5" t="inlineStr">
        <is>
          <t>*</t>
        </is>
      </c>
      <c r="E52" s="5" t="inlineStr">
        <is>
          <t>602-003</t>
        </is>
      </c>
      <c r="F52" s="5" t="inlineStr">
        <is>
          <t>*</t>
        </is>
      </c>
      <c r="G52" s="5" t="inlineStr">
        <is>
          <t>*</t>
        </is>
      </c>
      <c r="H52"/>
      <c r="I52"/>
      <c r="J52" s="5" t="inlineStr">
        <is>
          <t>0</t>
        </is>
      </c>
      <c r="K52" s="5" t="inlineStr">
        <is>
          <t>*</t>
        </is>
      </c>
      <c r="L52" t="n">
        <v>0.0</v>
      </c>
      <c r="M52" s="5" t="inlineStr">
        <is>
          <t>602</t>
        </is>
      </c>
      <c r="N52" s="5" t="inlineStr">
        <is>
          <t xml:space="preserve">  -</t>
        </is>
      </c>
      <c r="O52" s="5" t="inlineStr">
        <is>
          <t xml:space="preserve">  -</t>
        </is>
      </c>
      <c r="P52" s="5" t="inlineStr">
        <is>
          <t xml:space="preserve">  -</t>
        </is>
      </c>
      <c r="Q52" s="5" t="inlineStr">
        <is>
          <t>003</t>
        </is>
      </c>
      <c r="R52"/>
      <c r="S52" t="n">
        <v>2.0</v>
      </c>
      <c r="T52"/>
      <c r="U52" t="n">
        <v>2.0</v>
      </c>
      <c r="V52"/>
      <c r="W52" t="n">
        <v>0.0</v>
      </c>
      <c r="X52" t="n">
        <v>0.0</v>
      </c>
      <c r="Y52" t="n">
        <v>0.0</v>
      </c>
      <c r="Z52"/>
      <c r="AA52" t="n">
        <v>0.0</v>
      </c>
      <c r="AB52"/>
      <c r="AC52" t="n">
        <v>2.0</v>
      </c>
      <c r="AD52" s="5" t="inlineStr">
        <is>
          <t>pcs</t>
        </is>
      </c>
      <c r="AE52"/>
      <c r="AF52" s="5" t="inlineStr">
        <is>
          <t>pcs</t>
        </is>
      </c>
      <c r="AG52"/>
      <c r="AH52" t="inlineStr">
        <is>
          <t>No</t>
        </is>
      </c>
      <c r="AI52" s="2" t="n">
        <v>45841.4087037037</v>
      </c>
      <c r="AJ52" s="1" t="n">
        <f>DATE(2025,7,3)</f>
        <v>0.0</v>
      </c>
      <c r="AK52" t="inlineStr">
        <is>
          <t>Picking</t>
        </is>
      </c>
      <c r="AL52" s="2" t="n">
        <v>41183.43666666667</v>
      </c>
      <c r="AM52"/>
      <c r="AN52"/>
      <c r="AO52" t="n">
        <v>0.0</v>
      </c>
      <c r="AP52" t="n">
        <v>0.0</v>
      </c>
      <c r="AQ52"/>
      <c r="AR52" t="n">
        <v>9.276165491462564</v>
      </c>
      <c r="AS52" t="n">
        <v>18.552330982925128</v>
      </c>
      <c r="AT52" s="5" t="inlineStr">
        <is>
          <t>AUD</t>
        </is>
      </c>
      <c r="AU52" t="inlineStr">
        <is>
          <t>Company Owned</t>
        </is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t="n">
        <v>0.0</v>
      </c>
      <c r="BK52"/>
      <c r="BL52"/>
      <c r="BM52"/>
      <c r="BN52"/>
      <c r="BO52"/>
      <c r="BP52"/>
      <c r="BQ52"/>
      <c r="BR52"/>
      <c r="BS52"/>
      <c r="BT52"/>
      <c r="BU52" t="inlineStr">
        <is>
          <t>Yes</t>
        </is>
      </c>
      <c r="BV52"/>
      <c r="BW52"/>
      <c r="BX52"/>
    </row>
    <row r="53">
      <c r="A53" s="5" t="inlineStr">
        <is>
          <t>SERV</t>
        </is>
      </c>
      <c r="B53" s="5" t="inlineStr">
        <is>
          <t>132220</t>
        </is>
      </c>
      <c r="C53" s="5" t="inlineStr">
        <is>
          <t>Fuse Holder Type Fc32Fw</t>
        </is>
      </c>
      <c r="D53" s="5" t="inlineStr">
        <is>
          <t>*</t>
        </is>
      </c>
      <c r="E53" s="5" t="inlineStr">
        <is>
          <t>602-015</t>
        </is>
      </c>
      <c r="F53" s="5" t="inlineStr">
        <is>
          <t>*</t>
        </is>
      </c>
      <c r="G53" s="5" t="inlineStr">
        <is>
          <t>*</t>
        </is>
      </c>
      <c r="H53"/>
      <c r="I53"/>
      <c r="J53" s="5" t="inlineStr">
        <is>
          <t>0</t>
        </is>
      </c>
      <c r="K53" s="5" t="inlineStr">
        <is>
          <t>*</t>
        </is>
      </c>
      <c r="L53" t="n">
        <v>0.0</v>
      </c>
      <c r="M53" s="5" t="inlineStr">
        <is>
          <t>602</t>
        </is>
      </c>
      <c r="N53" s="5" t="inlineStr">
        <is>
          <t xml:space="preserve">  -</t>
        </is>
      </c>
      <c r="O53" s="5" t="inlineStr">
        <is>
          <t xml:space="preserve">  -</t>
        </is>
      </c>
      <c r="P53" s="5" t="inlineStr">
        <is>
          <t xml:space="preserve">  -</t>
        </is>
      </c>
      <c r="Q53" s="5" t="inlineStr">
        <is>
          <t>015</t>
        </is>
      </c>
      <c r="R53"/>
      <c r="S53" t="n">
        <v>2.0</v>
      </c>
      <c r="T53"/>
      <c r="U53" t="n">
        <v>2.0</v>
      </c>
      <c r="V53"/>
      <c r="W53" t="n">
        <v>0.0</v>
      </c>
      <c r="X53" t="n">
        <v>0.0</v>
      </c>
      <c r="Y53" t="n">
        <v>0.0</v>
      </c>
      <c r="Z53"/>
      <c r="AA53" t="n">
        <v>0.0</v>
      </c>
      <c r="AB53"/>
      <c r="AC53" t="n">
        <v>2.0</v>
      </c>
      <c r="AD53" s="5" t="inlineStr">
        <is>
          <t>pcs</t>
        </is>
      </c>
      <c r="AE53"/>
      <c r="AF53" s="5" t="inlineStr">
        <is>
          <t>pcs</t>
        </is>
      </c>
      <c r="AG53"/>
      <c r="AH53" t="inlineStr">
        <is>
          <t>No</t>
        </is>
      </c>
      <c r="AI53" s="2" t="n">
        <v>45841.408738425926</v>
      </c>
      <c r="AJ53" s="1" t="n">
        <f>DATE(2025,7,3)</f>
        <v>0.0</v>
      </c>
      <c r="AK53" t="inlineStr">
        <is>
          <t>Picking</t>
        </is>
      </c>
      <c r="AL53" s="2" t="n">
        <v>44336.59287037037</v>
      </c>
      <c r="AM53"/>
      <c r="AN53"/>
      <c r="AO53" t="n">
        <v>0.0</v>
      </c>
      <c r="AP53" t="n">
        <v>0.0</v>
      </c>
      <c r="AQ53"/>
      <c r="AR53" t="n">
        <v>0.01</v>
      </c>
      <c r="AS53" t="n">
        <v>0.02</v>
      </c>
      <c r="AT53" s="5" t="inlineStr">
        <is>
          <t>AUD</t>
        </is>
      </c>
      <c r="AU53" t="inlineStr">
        <is>
          <t>Company Owned</t>
        </is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t="n">
        <v>0.0</v>
      </c>
      <c r="BK53"/>
      <c r="BL53"/>
      <c r="BM53"/>
      <c r="BN53"/>
      <c r="BO53"/>
      <c r="BP53"/>
      <c r="BQ53"/>
      <c r="BR53"/>
      <c r="BS53"/>
      <c r="BT53"/>
      <c r="BU53" t="inlineStr">
        <is>
          <t>Yes</t>
        </is>
      </c>
      <c r="BV53"/>
      <c r="BW53"/>
      <c r="BX53"/>
    </row>
    <row r="54">
      <c r="A54" s="5" t="inlineStr">
        <is>
          <t>SERV</t>
        </is>
      </c>
      <c r="B54" s="5" t="inlineStr">
        <is>
          <t>132222</t>
        </is>
      </c>
      <c r="C54" s="5" t="inlineStr">
        <is>
          <t>Fuse 10 Amp Hrc Cartridge</t>
        </is>
      </c>
      <c r="D54" s="5" t="inlineStr">
        <is>
          <t>*</t>
        </is>
      </c>
      <c r="E54" s="5" t="inlineStr">
        <is>
          <t>602-015</t>
        </is>
      </c>
      <c r="F54" s="5" t="inlineStr">
        <is>
          <t>*</t>
        </is>
      </c>
      <c r="G54" s="5" t="inlineStr">
        <is>
          <t>*</t>
        </is>
      </c>
      <c r="H54"/>
      <c r="I54"/>
      <c r="J54" s="5" t="inlineStr">
        <is>
          <t>0</t>
        </is>
      </c>
      <c r="K54" s="5" t="inlineStr">
        <is>
          <t>*</t>
        </is>
      </c>
      <c r="L54" t="n">
        <v>0.0</v>
      </c>
      <c r="M54" s="5" t="inlineStr">
        <is>
          <t>602</t>
        </is>
      </c>
      <c r="N54" s="5" t="inlineStr">
        <is>
          <t xml:space="preserve">  -</t>
        </is>
      </c>
      <c r="O54" s="5" t="inlineStr">
        <is>
          <t xml:space="preserve">  -</t>
        </is>
      </c>
      <c r="P54" s="5" t="inlineStr">
        <is>
          <t xml:space="preserve">  -</t>
        </is>
      </c>
      <c r="Q54" s="5" t="inlineStr">
        <is>
          <t>015</t>
        </is>
      </c>
      <c r="R54"/>
      <c r="S54" t="n">
        <v>5.0</v>
      </c>
      <c r="T54"/>
      <c r="U54" t="n">
        <v>5.0</v>
      </c>
      <c r="V54"/>
      <c r="W54" t="n">
        <v>0.0</v>
      </c>
      <c r="X54" t="n">
        <v>0.0</v>
      </c>
      <c r="Y54" t="n">
        <v>0.0</v>
      </c>
      <c r="Z54"/>
      <c r="AA54" t="n">
        <v>0.0</v>
      </c>
      <c r="AB54"/>
      <c r="AC54" t="n">
        <v>5.0</v>
      </c>
      <c r="AD54" s="5" t="inlineStr">
        <is>
          <t>pcs</t>
        </is>
      </c>
      <c r="AE54"/>
      <c r="AF54" s="5" t="inlineStr">
        <is>
          <t>pcs</t>
        </is>
      </c>
      <c r="AG54"/>
      <c r="AH54" t="inlineStr">
        <is>
          <t>No</t>
        </is>
      </c>
      <c r="AI54" s="2" t="n">
        <v>45841.408738425926</v>
      </c>
      <c r="AJ54" s="1" t="n">
        <f>DATE(2025,7,3)</f>
        <v>0.0</v>
      </c>
      <c r="AK54" t="inlineStr">
        <is>
          <t>Picking</t>
        </is>
      </c>
      <c r="AL54" s="2" t="n">
        <v>44336.592986111114</v>
      </c>
      <c r="AM54"/>
      <c r="AN54"/>
      <c r="AO54" t="n">
        <v>0.0</v>
      </c>
      <c r="AP54" t="n">
        <v>0.0</v>
      </c>
      <c r="AQ54"/>
      <c r="AR54" t="n">
        <v>0.01</v>
      </c>
      <c r="AS54" t="n">
        <v>0.05</v>
      </c>
      <c r="AT54" s="5" t="inlineStr">
        <is>
          <t>AUD</t>
        </is>
      </c>
      <c r="AU54" t="inlineStr">
        <is>
          <t>Company Owned</t>
        </is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t="n">
        <v>0.0</v>
      </c>
      <c r="BK54"/>
      <c r="BL54"/>
      <c r="BM54"/>
      <c r="BN54"/>
      <c r="BO54"/>
      <c r="BP54"/>
      <c r="BQ54"/>
      <c r="BR54"/>
      <c r="BS54"/>
      <c r="BT54"/>
      <c r="BU54" t="inlineStr">
        <is>
          <t>Yes</t>
        </is>
      </c>
      <c r="BV54"/>
      <c r="BW54"/>
      <c r="BX54"/>
    </row>
    <row r="55">
      <c r="A55" s="5" t="inlineStr">
        <is>
          <t>SERV</t>
        </is>
      </c>
      <c r="B55" s="5" t="inlineStr">
        <is>
          <t>130053</t>
        </is>
      </c>
      <c r="C55" s="5" t="inlineStr">
        <is>
          <t>Switch Micro SPDT 15A240V W Drip Cover</t>
        </is>
      </c>
      <c r="D55" s="5" t="inlineStr">
        <is>
          <t>*</t>
        </is>
      </c>
      <c r="E55" s="5" t="inlineStr">
        <is>
          <t>602-003</t>
        </is>
      </c>
      <c r="F55" s="5" t="inlineStr">
        <is>
          <t>*</t>
        </is>
      </c>
      <c r="G55" s="5" t="inlineStr">
        <is>
          <t>*</t>
        </is>
      </c>
      <c r="H55"/>
      <c r="I55"/>
      <c r="J55" s="5" t="inlineStr">
        <is>
          <t>0</t>
        </is>
      </c>
      <c r="K55" s="5" t="inlineStr">
        <is>
          <t>*</t>
        </is>
      </c>
      <c r="L55" t="n">
        <v>0.0</v>
      </c>
      <c r="M55" s="5" t="inlineStr">
        <is>
          <t>602</t>
        </is>
      </c>
      <c r="N55" s="5" t="inlineStr">
        <is>
          <t xml:space="preserve">  -</t>
        </is>
      </c>
      <c r="O55" s="5" t="inlineStr">
        <is>
          <t xml:space="preserve">  -</t>
        </is>
      </c>
      <c r="P55" s="5" t="inlineStr">
        <is>
          <t xml:space="preserve">  -</t>
        </is>
      </c>
      <c r="Q55" s="5" t="inlineStr">
        <is>
          <t>003</t>
        </is>
      </c>
      <c r="R55"/>
      <c r="S55" t="n">
        <v>7.0</v>
      </c>
      <c r="T55"/>
      <c r="U55" t="n">
        <v>7.0</v>
      </c>
      <c r="V55"/>
      <c r="W55" t="n">
        <v>0.0</v>
      </c>
      <c r="X55" t="n">
        <v>0.0</v>
      </c>
      <c r="Y55" t="n">
        <v>0.0</v>
      </c>
      <c r="Z55"/>
      <c r="AA55" t="n">
        <v>0.0</v>
      </c>
      <c r="AB55"/>
      <c r="AC55" t="n">
        <v>7.0</v>
      </c>
      <c r="AD55" s="5" t="inlineStr">
        <is>
          <t>pcs</t>
        </is>
      </c>
      <c r="AE55"/>
      <c r="AF55" s="5" t="inlineStr">
        <is>
          <t>pcs</t>
        </is>
      </c>
      <c r="AG55"/>
      <c r="AH55" t="inlineStr">
        <is>
          <t>No</t>
        </is>
      </c>
      <c r="AI55" s="2" t="n">
        <v>45841.4087037037</v>
      </c>
      <c r="AJ55" s="1" t="n">
        <f>DATE(2025,7,3)</f>
        <v>0.0</v>
      </c>
      <c r="AK55" t="inlineStr">
        <is>
          <t>Picking</t>
        </is>
      </c>
      <c r="AL55" s="2" t="n">
        <v>41183.43467592593</v>
      </c>
      <c r="AM55"/>
      <c r="AN55"/>
      <c r="AO55" t="n">
        <v>0.0</v>
      </c>
      <c r="AP55" t="n">
        <v>0.0</v>
      </c>
      <c r="AQ55"/>
      <c r="AR55" t="n">
        <v>16.55125232205291</v>
      </c>
      <c r="AS55" t="n">
        <v>115.85876625437038</v>
      </c>
      <c r="AT55" s="5" t="inlineStr">
        <is>
          <t>AUD</t>
        </is>
      </c>
      <c r="AU55" t="inlineStr">
        <is>
          <t>Company Owned</t>
        </is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t="n">
        <v>0.0</v>
      </c>
      <c r="BK55"/>
      <c r="BL55"/>
      <c r="BM55"/>
      <c r="BN55"/>
      <c r="BO55"/>
      <c r="BP55"/>
      <c r="BQ55"/>
      <c r="BR55"/>
      <c r="BS55"/>
      <c r="BT55"/>
      <c r="BU55" t="inlineStr">
        <is>
          <t>Yes</t>
        </is>
      </c>
      <c r="BV55"/>
      <c r="BW55"/>
      <c r="BX55"/>
    </row>
    <row r="56">
      <c r="A56" s="5" t="inlineStr">
        <is>
          <t>SERV</t>
        </is>
      </c>
      <c r="B56" s="5" t="inlineStr">
        <is>
          <t>130131</t>
        </is>
      </c>
      <c r="C56" s="5" t="inlineStr">
        <is>
          <t>Connector Bp1</t>
        </is>
      </c>
      <c r="D56" s="5" t="inlineStr">
        <is>
          <t>*</t>
        </is>
      </c>
      <c r="E56" s="5" t="inlineStr">
        <is>
          <t>602-026</t>
        </is>
      </c>
      <c r="F56" s="5" t="inlineStr">
        <is>
          <t>*</t>
        </is>
      </c>
      <c r="G56" s="5" t="inlineStr">
        <is>
          <t>*</t>
        </is>
      </c>
      <c r="H56"/>
      <c r="I56"/>
      <c r="J56" s="5" t="inlineStr">
        <is>
          <t>0</t>
        </is>
      </c>
      <c r="K56" s="5" t="inlineStr">
        <is>
          <t>*</t>
        </is>
      </c>
      <c r="L56" t="n">
        <v>0.0</v>
      </c>
      <c r="M56" s="5" t="inlineStr">
        <is>
          <t>602</t>
        </is>
      </c>
      <c r="N56" s="5" t="inlineStr">
        <is>
          <t xml:space="preserve">  -</t>
        </is>
      </c>
      <c r="O56" s="5" t="inlineStr">
        <is>
          <t xml:space="preserve">  -</t>
        </is>
      </c>
      <c r="P56" s="5" t="inlineStr">
        <is>
          <t xml:space="preserve">  -</t>
        </is>
      </c>
      <c r="Q56" s="5" t="inlineStr">
        <is>
          <t>026</t>
        </is>
      </c>
      <c r="R56"/>
      <c r="S56" t="n">
        <v>11.0</v>
      </c>
      <c r="T56"/>
      <c r="U56" t="n">
        <v>11.0</v>
      </c>
      <c r="V56"/>
      <c r="W56" t="n">
        <v>0.0</v>
      </c>
      <c r="X56" t="n">
        <v>0.0</v>
      </c>
      <c r="Y56" t="n">
        <v>0.0</v>
      </c>
      <c r="Z56"/>
      <c r="AA56" t="n">
        <v>0.0</v>
      </c>
      <c r="AB56"/>
      <c r="AC56" t="n">
        <v>11.0</v>
      </c>
      <c r="AD56" s="5" t="inlineStr">
        <is>
          <t>pcs</t>
        </is>
      </c>
      <c r="AE56"/>
      <c r="AF56" s="5" t="inlineStr">
        <is>
          <t>pcs</t>
        </is>
      </c>
      <c r="AG56"/>
      <c r="AH56" t="inlineStr">
        <is>
          <t>No</t>
        </is>
      </c>
      <c r="AI56" s="2" t="n">
        <v>45841.40898148148</v>
      </c>
      <c r="AJ56" s="1" t="n">
        <f>DATE(2023,6,30)</f>
        <v>0.0</v>
      </c>
      <c r="AK56" t="inlineStr">
        <is>
          <t>Picking</t>
        </is>
      </c>
      <c r="AL56" s="2" t="n">
        <v>41778.53105324074</v>
      </c>
      <c r="AM56"/>
      <c r="AN56"/>
      <c r="AO56" t="n">
        <v>0.0</v>
      </c>
      <c r="AP56" t="n">
        <v>0.0</v>
      </c>
      <c r="AQ56"/>
      <c r="AR56" t="n">
        <v>0.34999891497201063</v>
      </c>
      <c r="AS56" t="n">
        <v>3.8499880646921167</v>
      </c>
      <c r="AT56" s="5" t="inlineStr">
        <is>
          <t>AUD</t>
        </is>
      </c>
      <c r="AU56" t="inlineStr">
        <is>
          <t>Company Owned</t>
        </is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t="n">
        <v>0.0</v>
      </c>
      <c r="BK56"/>
      <c r="BL56"/>
      <c r="BM56"/>
      <c r="BN56"/>
      <c r="BO56"/>
      <c r="BP56"/>
      <c r="BQ56"/>
      <c r="BR56"/>
      <c r="BS56"/>
      <c r="BT56"/>
      <c r="BU56" t="inlineStr">
        <is>
          <t>Yes</t>
        </is>
      </c>
      <c r="BV56"/>
      <c r="BW56"/>
      <c r="BX56"/>
    </row>
    <row r="57">
      <c r="A57" s="5" t="inlineStr">
        <is>
          <t>SERV</t>
        </is>
      </c>
      <c r="B57" s="5" t="inlineStr">
        <is>
          <t>025260</t>
        </is>
      </c>
      <c r="C57" s="5" t="inlineStr">
        <is>
          <t>Label Button Board Rh No Laser</t>
        </is>
      </c>
      <c r="D57" s="5" t="inlineStr">
        <is>
          <t>*</t>
        </is>
      </c>
      <c r="E57" s="5" t="inlineStr">
        <is>
          <t>602-006</t>
        </is>
      </c>
      <c r="F57" s="5" t="inlineStr">
        <is>
          <t>*</t>
        </is>
      </c>
      <c r="G57" s="5" t="inlineStr">
        <is>
          <t>*</t>
        </is>
      </c>
      <c r="H57"/>
      <c r="I57"/>
      <c r="J57" s="5" t="inlineStr">
        <is>
          <t>1</t>
        </is>
      </c>
      <c r="K57" s="5" t="inlineStr">
        <is>
          <t>*</t>
        </is>
      </c>
      <c r="L57" t="n">
        <v>0.0</v>
      </c>
      <c r="M57" s="5" t="inlineStr">
        <is>
          <t>602</t>
        </is>
      </c>
      <c r="N57" s="5" t="inlineStr">
        <is>
          <t xml:space="preserve">  -</t>
        </is>
      </c>
      <c r="O57" s="5" t="inlineStr">
        <is>
          <t xml:space="preserve">  -</t>
        </is>
      </c>
      <c r="P57" s="5" t="inlineStr">
        <is>
          <t xml:space="preserve">  -</t>
        </is>
      </c>
      <c r="Q57" s="5" t="inlineStr">
        <is>
          <t>006</t>
        </is>
      </c>
      <c r="R57"/>
      <c r="S57" t="n">
        <v>2.0</v>
      </c>
      <c r="T57"/>
      <c r="U57" t="n">
        <v>2.0</v>
      </c>
      <c r="V57"/>
      <c r="W57" t="n">
        <v>0.0</v>
      </c>
      <c r="X57" t="n">
        <v>0.0</v>
      </c>
      <c r="Y57" t="n">
        <v>0.0</v>
      </c>
      <c r="Z57"/>
      <c r="AA57" t="n">
        <v>0.0</v>
      </c>
      <c r="AB57"/>
      <c r="AC57" t="n">
        <v>2.0</v>
      </c>
      <c r="AD57" s="5" t="inlineStr">
        <is>
          <t>pcs</t>
        </is>
      </c>
      <c r="AE57"/>
      <c r="AF57" s="5" t="inlineStr">
        <is>
          <t>pcs</t>
        </is>
      </c>
      <c r="AG57"/>
      <c r="AH57" t="inlineStr">
        <is>
          <t>No</t>
        </is>
      </c>
      <c r="AI57" s="2" t="n">
        <v>45841.40872685185</v>
      </c>
      <c r="AJ57" s="1" t="n">
        <f>DATE(2025,7,3)</f>
        <v>0.0</v>
      </c>
      <c r="AK57" t="inlineStr">
        <is>
          <t>Picking</t>
        </is>
      </c>
      <c r="AL57" s="2" t="n">
        <v>41183.444861111115</v>
      </c>
      <c r="AM57"/>
      <c r="AN57"/>
      <c r="AO57" t="n">
        <v>0.0</v>
      </c>
      <c r="AP57" t="n">
        <v>0.0</v>
      </c>
      <c r="AQ57"/>
      <c r="AR57" t="n">
        <v>4.528121447030642</v>
      </c>
      <c r="AS57" t="n">
        <v>9.056242894061285</v>
      </c>
      <c r="AT57" s="5" t="inlineStr">
        <is>
          <t>AUD</t>
        </is>
      </c>
      <c r="AU57" t="inlineStr">
        <is>
          <t>Company Owned</t>
        </is>
      </c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t="n">
        <v>0.0</v>
      </c>
      <c r="BK57"/>
      <c r="BL57"/>
      <c r="BM57"/>
      <c r="BN57"/>
      <c r="BO57"/>
      <c r="BP57"/>
      <c r="BQ57"/>
      <c r="BR57"/>
      <c r="BS57"/>
      <c r="BT57"/>
      <c r="BU57" t="inlineStr">
        <is>
          <t>Yes</t>
        </is>
      </c>
      <c r="BV57"/>
      <c r="BW57"/>
      <c r="BX57"/>
    </row>
    <row r="58">
      <c r="A58" s="5" t="inlineStr">
        <is>
          <t>SERV</t>
        </is>
      </c>
      <c r="B58" s="5" t="inlineStr">
        <is>
          <t>025094</t>
        </is>
      </c>
      <c r="C58" s="5" t="inlineStr">
        <is>
          <t>PCB Button Board Lh L5 L6 L9 At1012L</t>
        </is>
      </c>
      <c r="D58" s="5" t="inlineStr">
        <is>
          <t>*</t>
        </is>
      </c>
      <c r="E58" s="5" t="inlineStr">
        <is>
          <t>602-006</t>
        </is>
      </c>
      <c r="F58" s="5" t="inlineStr">
        <is>
          <t>*</t>
        </is>
      </c>
      <c r="G58" s="5" t="inlineStr">
        <is>
          <t>*</t>
        </is>
      </c>
      <c r="H58"/>
      <c r="I58"/>
      <c r="J58" s="5" t="inlineStr">
        <is>
          <t>1</t>
        </is>
      </c>
      <c r="K58" s="5" t="inlineStr">
        <is>
          <t>*</t>
        </is>
      </c>
      <c r="L58" t="n">
        <v>0.0</v>
      </c>
      <c r="M58" s="5" t="inlineStr">
        <is>
          <t>602</t>
        </is>
      </c>
      <c r="N58" s="5" t="inlineStr">
        <is>
          <t xml:space="preserve">  -</t>
        </is>
      </c>
      <c r="O58" s="5" t="inlineStr">
        <is>
          <t xml:space="preserve">  -</t>
        </is>
      </c>
      <c r="P58" s="5" t="inlineStr">
        <is>
          <t xml:space="preserve">  -</t>
        </is>
      </c>
      <c r="Q58" s="5" t="inlineStr">
        <is>
          <t>006</t>
        </is>
      </c>
      <c r="R58"/>
      <c r="S58" t="n">
        <v>2.0</v>
      </c>
      <c r="T58"/>
      <c r="U58" t="n">
        <v>2.0</v>
      </c>
      <c r="V58"/>
      <c r="W58" t="n">
        <v>0.0</v>
      </c>
      <c r="X58" t="n">
        <v>0.0</v>
      </c>
      <c r="Y58" t="n">
        <v>0.0</v>
      </c>
      <c r="Z58"/>
      <c r="AA58" t="n">
        <v>0.0</v>
      </c>
      <c r="AB58"/>
      <c r="AC58" t="n">
        <v>2.0</v>
      </c>
      <c r="AD58" s="5" t="inlineStr">
        <is>
          <t>pcs</t>
        </is>
      </c>
      <c r="AE58"/>
      <c r="AF58" s="5" t="inlineStr">
        <is>
          <t>pcs</t>
        </is>
      </c>
      <c r="AG58"/>
      <c r="AH58" t="inlineStr">
        <is>
          <t>No</t>
        </is>
      </c>
      <c r="AI58" s="2" t="n">
        <v>45841.40872685185</v>
      </c>
      <c r="AJ58" s="1" t="n">
        <f>DATE(2025,7,3)</f>
        <v>0.0</v>
      </c>
      <c r="AK58" t="inlineStr">
        <is>
          <t>Picking</t>
        </is>
      </c>
      <c r="AL58" s="2" t="n">
        <v>41183.44483796296</v>
      </c>
      <c r="AM58"/>
      <c r="AN58"/>
      <c r="AO58" t="n">
        <v>0.0</v>
      </c>
      <c r="AP58" t="n">
        <v>0.0</v>
      </c>
      <c r="AQ58"/>
      <c r="AR58" t="n">
        <v>6.684364183858081</v>
      </c>
      <c r="AS58" t="n">
        <v>13.368728367716162</v>
      </c>
      <c r="AT58" s="5" t="inlineStr">
        <is>
          <t>AUD</t>
        </is>
      </c>
      <c r="AU58" t="inlineStr">
        <is>
          <t>Company Owned</t>
        </is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t="n">
        <v>0.0</v>
      </c>
      <c r="BK58"/>
      <c r="BL58"/>
      <c r="BM58"/>
      <c r="BN58"/>
      <c r="BO58"/>
      <c r="BP58"/>
      <c r="BQ58"/>
      <c r="BR58"/>
      <c r="BS58"/>
      <c r="BT58"/>
      <c r="BU58" t="inlineStr">
        <is>
          <t>Yes</t>
        </is>
      </c>
      <c r="BV58"/>
      <c r="BW58"/>
      <c r="BX58"/>
    </row>
    <row r="59">
      <c r="A59" s="5" t="inlineStr">
        <is>
          <t>SERV</t>
        </is>
      </c>
      <c r="B59" s="5" t="inlineStr">
        <is>
          <t>025095</t>
        </is>
      </c>
      <c r="C59" s="5" t="inlineStr">
        <is>
          <t>PCB Button Board Rh L5 L6 L9 At1012R</t>
        </is>
      </c>
      <c r="D59" s="5" t="inlineStr">
        <is>
          <t>*</t>
        </is>
      </c>
      <c r="E59" s="5" t="inlineStr">
        <is>
          <t>602-006</t>
        </is>
      </c>
      <c r="F59" s="5" t="inlineStr">
        <is>
          <t>*</t>
        </is>
      </c>
      <c r="G59" s="5" t="inlineStr">
        <is>
          <t>*</t>
        </is>
      </c>
      <c r="H59"/>
      <c r="I59"/>
      <c r="J59" s="5" t="inlineStr">
        <is>
          <t>1</t>
        </is>
      </c>
      <c r="K59" s="5" t="inlineStr">
        <is>
          <t>*</t>
        </is>
      </c>
      <c r="L59" t="n">
        <v>0.0</v>
      </c>
      <c r="M59" s="5" t="inlineStr">
        <is>
          <t>602</t>
        </is>
      </c>
      <c r="N59" s="5" t="inlineStr">
        <is>
          <t xml:space="preserve">  -</t>
        </is>
      </c>
      <c r="O59" s="5" t="inlineStr">
        <is>
          <t xml:space="preserve">  -</t>
        </is>
      </c>
      <c r="P59" s="5" t="inlineStr">
        <is>
          <t xml:space="preserve">  -</t>
        </is>
      </c>
      <c r="Q59" s="5" t="inlineStr">
        <is>
          <t>006</t>
        </is>
      </c>
      <c r="R59"/>
      <c r="S59" t="n">
        <v>2.0</v>
      </c>
      <c r="T59"/>
      <c r="U59" t="n">
        <v>2.0</v>
      </c>
      <c r="V59"/>
      <c r="W59" t="n">
        <v>0.0</v>
      </c>
      <c r="X59" t="n">
        <v>0.0</v>
      </c>
      <c r="Y59" t="n">
        <v>0.0</v>
      </c>
      <c r="Z59"/>
      <c r="AA59" t="n">
        <v>0.0</v>
      </c>
      <c r="AB59"/>
      <c r="AC59" t="n">
        <v>2.0</v>
      </c>
      <c r="AD59" s="5" t="inlineStr">
        <is>
          <t>pcs</t>
        </is>
      </c>
      <c r="AE59"/>
      <c r="AF59" s="5" t="inlineStr">
        <is>
          <t>pcs</t>
        </is>
      </c>
      <c r="AG59"/>
      <c r="AH59" t="inlineStr">
        <is>
          <t>No</t>
        </is>
      </c>
      <c r="AI59" s="2" t="n">
        <v>45841.40872685185</v>
      </c>
      <c r="AJ59" s="1" t="n">
        <f>DATE(2025,7,3)</f>
        <v>0.0</v>
      </c>
      <c r="AK59" t="inlineStr">
        <is>
          <t>Picking</t>
        </is>
      </c>
      <c r="AL59" s="2" t="n">
        <v>44336.59162037037</v>
      </c>
      <c r="AM59"/>
      <c r="AN59"/>
      <c r="AO59" t="n">
        <v>0.0</v>
      </c>
      <c r="AP59" t="n">
        <v>0.0</v>
      </c>
      <c r="AQ59"/>
      <c r="AR59" t="n">
        <v>0.01</v>
      </c>
      <c r="AS59" t="n">
        <v>0.02</v>
      </c>
      <c r="AT59" s="5" t="inlineStr">
        <is>
          <t>AUD</t>
        </is>
      </c>
      <c r="AU59" t="inlineStr">
        <is>
          <t>Company Owned</t>
        </is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t="n">
        <v>0.0</v>
      </c>
      <c r="BK59"/>
      <c r="BL59"/>
      <c r="BM59"/>
      <c r="BN59"/>
      <c r="BO59"/>
      <c r="BP59"/>
      <c r="BQ59"/>
      <c r="BR59"/>
      <c r="BS59"/>
      <c r="BT59"/>
      <c r="BU59" t="inlineStr">
        <is>
          <t>Yes</t>
        </is>
      </c>
      <c r="BV59"/>
      <c r="BW59"/>
      <c r="BX59"/>
    </row>
    <row r="60">
      <c r="A60" s="5" t="inlineStr">
        <is>
          <t>SERV</t>
        </is>
      </c>
      <c r="B60" s="5" t="inlineStr">
        <is>
          <t>025096</t>
        </is>
      </c>
      <c r="C60" s="5" t="inlineStr">
        <is>
          <t>PCB Button Board Spacer L5 L6 L9</t>
        </is>
      </c>
      <c r="D60" s="5" t="inlineStr">
        <is>
          <t>*</t>
        </is>
      </c>
      <c r="E60" s="5" t="inlineStr">
        <is>
          <t>602-006</t>
        </is>
      </c>
      <c r="F60" s="5" t="inlineStr">
        <is>
          <t>*</t>
        </is>
      </c>
      <c r="G60" s="5" t="inlineStr">
        <is>
          <t>*</t>
        </is>
      </c>
      <c r="H60"/>
      <c r="I60"/>
      <c r="J60" s="5" t="inlineStr">
        <is>
          <t>1</t>
        </is>
      </c>
      <c r="K60" s="5" t="inlineStr">
        <is>
          <t>*</t>
        </is>
      </c>
      <c r="L60" t="n">
        <v>0.0</v>
      </c>
      <c r="M60" s="5" t="inlineStr">
        <is>
          <t>602</t>
        </is>
      </c>
      <c r="N60" s="5" t="inlineStr">
        <is>
          <t xml:space="preserve">  -</t>
        </is>
      </c>
      <c r="O60" s="5" t="inlineStr">
        <is>
          <t xml:space="preserve">  -</t>
        </is>
      </c>
      <c r="P60" s="5" t="inlineStr">
        <is>
          <t xml:space="preserve">  -</t>
        </is>
      </c>
      <c r="Q60" s="5" t="inlineStr">
        <is>
          <t>006</t>
        </is>
      </c>
      <c r="R60"/>
      <c r="S60" t="n">
        <v>5.0</v>
      </c>
      <c r="T60"/>
      <c r="U60" t="n">
        <v>5.0</v>
      </c>
      <c r="V60"/>
      <c r="W60" t="n">
        <v>0.0</v>
      </c>
      <c r="X60" t="n">
        <v>0.0</v>
      </c>
      <c r="Y60" t="n">
        <v>0.0</v>
      </c>
      <c r="Z60"/>
      <c r="AA60" t="n">
        <v>0.0</v>
      </c>
      <c r="AB60"/>
      <c r="AC60" t="n">
        <v>5.0</v>
      </c>
      <c r="AD60" s="5" t="inlineStr">
        <is>
          <t>pcs</t>
        </is>
      </c>
      <c r="AE60"/>
      <c r="AF60" s="5" t="inlineStr">
        <is>
          <t>pcs</t>
        </is>
      </c>
      <c r="AG60"/>
      <c r="AH60" t="inlineStr">
        <is>
          <t>No</t>
        </is>
      </c>
      <c r="AI60" s="2" t="n">
        <v>45841.40872685185</v>
      </c>
      <c r="AJ60" s="1" t="n">
        <f>DATE(2025,7,3)</f>
        <v>0.0</v>
      </c>
      <c r="AK60" t="inlineStr">
        <is>
          <t>Picking</t>
        </is>
      </c>
      <c r="AL60" s="2" t="n">
        <v>41813.63138888889</v>
      </c>
      <c r="AM60"/>
      <c r="AN60"/>
      <c r="AO60" t="n">
        <v>0.0</v>
      </c>
      <c r="AP60" t="n">
        <v>0.0</v>
      </c>
      <c r="AQ60"/>
      <c r="AR60" t="n">
        <v>1.625582629053383</v>
      </c>
      <c r="AS60" t="n">
        <v>8.127913145266914</v>
      </c>
      <c r="AT60" s="5" t="inlineStr">
        <is>
          <t>AUD</t>
        </is>
      </c>
      <c r="AU60" t="inlineStr">
        <is>
          <t>Company Owned</t>
        </is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t="n">
        <v>0.0</v>
      </c>
      <c r="BK60"/>
      <c r="BL60"/>
      <c r="BM60"/>
      <c r="BN60"/>
      <c r="BO60"/>
      <c r="BP60"/>
      <c r="BQ60"/>
      <c r="BR60"/>
      <c r="BS60"/>
      <c r="BT60"/>
      <c r="BU60" t="inlineStr">
        <is>
          <t>Yes</t>
        </is>
      </c>
      <c r="BV60"/>
      <c r="BW60"/>
      <c r="BX60"/>
    </row>
    <row r="61">
      <c r="A61" s="5" t="inlineStr">
        <is>
          <t>SERV</t>
        </is>
      </c>
      <c r="B61" s="5" t="inlineStr">
        <is>
          <t>025097</t>
        </is>
      </c>
      <c r="C61" s="5" t="inlineStr">
        <is>
          <t>Label Button Board Lh L5 L6 L9</t>
        </is>
      </c>
      <c r="D61" s="5" t="inlineStr">
        <is>
          <t>*</t>
        </is>
      </c>
      <c r="E61" s="5" t="inlineStr">
        <is>
          <t>602-006</t>
        </is>
      </c>
      <c r="F61" s="5" t="inlineStr">
        <is>
          <t>*</t>
        </is>
      </c>
      <c r="G61" s="5" t="inlineStr">
        <is>
          <t>*</t>
        </is>
      </c>
      <c r="H61"/>
      <c r="I61"/>
      <c r="J61" s="5" t="inlineStr">
        <is>
          <t>1</t>
        </is>
      </c>
      <c r="K61" s="5" t="inlineStr">
        <is>
          <t>*</t>
        </is>
      </c>
      <c r="L61" t="n">
        <v>0.0</v>
      </c>
      <c r="M61" s="5" t="inlineStr">
        <is>
          <t>602</t>
        </is>
      </c>
      <c r="N61" s="5" t="inlineStr">
        <is>
          <t xml:space="preserve">  -</t>
        </is>
      </c>
      <c r="O61" s="5" t="inlineStr">
        <is>
          <t xml:space="preserve">  -</t>
        </is>
      </c>
      <c r="P61" s="5" t="inlineStr">
        <is>
          <t xml:space="preserve">  -</t>
        </is>
      </c>
      <c r="Q61" s="5" t="inlineStr">
        <is>
          <t>006</t>
        </is>
      </c>
      <c r="R61"/>
      <c r="S61" t="n">
        <v>5.0</v>
      </c>
      <c r="T61"/>
      <c r="U61" t="n">
        <v>5.0</v>
      </c>
      <c r="V61"/>
      <c r="W61" t="n">
        <v>0.0</v>
      </c>
      <c r="X61" t="n">
        <v>0.0</v>
      </c>
      <c r="Y61" t="n">
        <v>0.0</v>
      </c>
      <c r="Z61"/>
      <c r="AA61" t="n">
        <v>0.0</v>
      </c>
      <c r="AB61"/>
      <c r="AC61" t="n">
        <v>5.0</v>
      </c>
      <c r="AD61" s="5" t="inlineStr">
        <is>
          <t>pcs</t>
        </is>
      </c>
      <c r="AE61"/>
      <c r="AF61" s="5" t="inlineStr">
        <is>
          <t>pcs</t>
        </is>
      </c>
      <c r="AG61"/>
      <c r="AH61" t="inlineStr">
        <is>
          <t>No</t>
        </is>
      </c>
      <c r="AI61" s="2" t="n">
        <v>46050.75877314815</v>
      </c>
      <c r="AJ61" s="1" t="n">
        <f>DATE(2025,7,3)</f>
        <v>0.0</v>
      </c>
      <c r="AK61" t="inlineStr">
        <is>
          <t>Picking</t>
        </is>
      </c>
      <c r="AL61" s="2" t="n">
        <v>44972.57303240741</v>
      </c>
      <c r="AM61"/>
      <c r="AN61"/>
      <c r="AO61" t="n">
        <v>0.0</v>
      </c>
      <c r="AP61" t="n">
        <v>0.0</v>
      </c>
      <c r="AQ61"/>
      <c r="AR61" t="n">
        <v>5.575869771409226</v>
      </c>
      <c r="AS61" t="n">
        <v>27.879348857046132</v>
      </c>
      <c r="AT61" s="5" t="inlineStr">
        <is>
          <t>AUD</t>
        </is>
      </c>
      <c r="AU61" t="inlineStr">
        <is>
          <t>Company Owned</t>
        </is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t="n">
        <v>0.0</v>
      </c>
      <c r="BK61"/>
      <c r="BL61"/>
      <c r="BM61"/>
      <c r="BN61"/>
      <c r="BO61"/>
      <c r="BP61"/>
      <c r="BQ61"/>
      <c r="BR61"/>
      <c r="BS61"/>
      <c r="BT61"/>
      <c r="BU61" t="inlineStr">
        <is>
          <t>Yes</t>
        </is>
      </c>
      <c r="BV61"/>
      <c r="BW61"/>
      <c r="BX61"/>
    </row>
    <row r="62">
      <c r="A62" s="5" t="inlineStr">
        <is>
          <t>SERV</t>
        </is>
      </c>
      <c r="B62" s="5" t="inlineStr">
        <is>
          <t>025098</t>
        </is>
      </c>
      <c r="C62" s="5" t="inlineStr">
        <is>
          <t>Label Button Board Rh L5 L6 L9</t>
        </is>
      </c>
      <c r="D62" s="5" t="inlineStr">
        <is>
          <t>*</t>
        </is>
      </c>
      <c r="E62" s="5" t="inlineStr">
        <is>
          <t>602-006</t>
        </is>
      </c>
      <c r="F62" s="5" t="inlineStr">
        <is>
          <t>*</t>
        </is>
      </c>
      <c r="G62" s="5" t="inlineStr">
        <is>
          <t>*</t>
        </is>
      </c>
      <c r="H62"/>
      <c r="I62"/>
      <c r="J62" s="5" t="inlineStr">
        <is>
          <t>1</t>
        </is>
      </c>
      <c r="K62" s="5" t="inlineStr">
        <is>
          <t>*</t>
        </is>
      </c>
      <c r="L62" t="n">
        <v>0.0</v>
      </c>
      <c r="M62" s="5" t="inlineStr">
        <is>
          <t>602</t>
        </is>
      </c>
      <c r="N62" s="5" t="inlineStr">
        <is>
          <t xml:space="preserve">  -</t>
        </is>
      </c>
      <c r="O62" s="5" t="inlineStr">
        <is>
          <t xml:space="preserve">  -</t>
        </is>
      </c>
      <c r="P62" s="5" t="inlineStr">
        <is>
          <t xml:space="preserve">  -</t>
        </is>
      </c>
      <c r="Q62" s="5" t="inlineStr">
        <is>
          <t>006</t>
        </is>
      </c>
      <c r="R62"/>
      <c r="S62" t="n">
        <v>3.0</v>
      </c>
      <c r="T62"/>
      <c r="U62" t="n">
        <v>3.0</v>
      </c>
      <c r="V62"/>
      <c r="W62" t="n">
        <v>0.0</v>
      </c>
      <c r="X62" t="n">
        <v>0.0</v>
      </c>
      <c r="Y62" t="n">
        <v>0.0</v>
      </c>
      <c r="Z62"/>
      <c r="AA62" t="n">
        <v>0.0</v>
      </c>
      <c r="AB62"/>
      <c r="AC62" t="n">
        <v>3.0</v>
      </c>
      <c r="AD62" s="5" t="inlineStr">
        <is>
          <t>pcs</t>
        </is>
      </c>
      <c r="AE62"/>
      <c r="AF62" s="5" t="inlineStr">
        <is>
          <t>pcs</t>
        </is>
      </c>
      <c r="AG62"/>
      <c r="AH62" t="inlineStr">
        <is>
          <t>No</t>
        </is>
      </c>
      <c r="AI62" s="2" t="n">
        <v>45841.40872685185</v>
      </c>
      <c r="AJ62" s="1" t="n">
        <f>DATE(2025,7,3)</f>
        <v>0.0</v>
      </c>
      <c r="AK62" t="inlineStr">
        <is>
          <t>Picking</t>
        </is>
      </c>
      <c r="AL62" s="2" t="n">
        <v>41183.44484953704</v>
      </c>
      <c r="AM62"/>
      <c r="AN62"/>
      <c r="AO62" t="n">
        <v>0.0</v>
      </c>
      <c r="AP62" t="n">
        <v>0.0</v>
      </c>
      <c r="AQ62"/>
      <c r="AR62" t="n">
        <v>4.557288442457213</v>
      </c>
      <c r="AS62" t="n">
        <v>13.67186532737164</v>
      </c>
      <c r="AT62" s="5" t="inlineStr">
        <is>
          <t>AUD</t>
        </is>
      </c>
      <c r="AU62" t="inlineStr">
        <is>
          <t>Company Owned</t>
        </is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t="n">
        <v>0.0</v>
      </c>
      <c r="BK62"/>
      <c r="BL62"/>
      <c r="BM62"/>
      <c r="BN62"/>
      <c r="BO62"/>
      <c r="BP62"/>
      <c r="BQ62"/>
      <c r="BR62"/>
      <c r="BS62"/>
      <c r="BT62"/>
      <c r="BU62" t="inlineStr">
        <is>
          <t>Yes</t>
        </is>
      </c>
      <c r="BV62"/>
      <c r="BW62"/>
      <c r="BX62"/>
    </row>
    <row r="63">
      <c r="A63" s="5" t="inlineStr">
        <is>
          <t>SERV</t>
        </is>
      </c>
      <c r="B63" s="5" t="inlineStr">
        <is>
          <t>022249</t>
        </is>
      </c>
      <c r="C63" s="5" t="inlineStr">
        <is>
          <t>Gauge Compound Tangent ABS Panel</t>
        </is>
      </c>
      <c r="D63" s="5" t="inlineStr">
        <is>
          <t>*</t>
        </is>
      </c>
      <c r="E63" s="5" t="inlineStr">
        <is>
          <t>602-008</t>
        </is>
      </c>
      <c r="F63" s="5" t="inlineStr">
        <is>
          <t>*</t>
        </is>
      </c>
      <c r="G63" s="5" t="inlineStr">
        <is>
          <t>*</t>
        </is>
      </c>
      <c r="H63"/>
      <c r="I63"/>
      <c r="J63" s="5" t="inlineStr">
        <is>
          <t>2</t>
        </is>
      </c>
      <c r="K63" s="5" t="inlineStr">
        <is>
          <t>*</t>
        </is>
      </c>
      <c r="L63" t="n">
        <v>0.0</v>
      </c>
      <c r="M63" s="5" t="inlineStr">
        <is>
          <t>602</t>
        </is>
      </c>
      <c r="N63" s="5" t="inlineStr">
        <is>
          <t xml:space="preserve">  -</t>
        </is>
      </c>
      <c r="O63" s="5" t="inlineStr">
        <is>
          <t xml:space="preserve">  -</t>
        </is>
      </c>
      <c r="P63" s="5" t="inlineStr">
        <is>
          <t xml:space="preserve">  -</t>
        </is>
      </c>
      <c r="Q63" s="5" t="inlineStr">
        <is>
          <t>008</t>
        </is>
      </c>
      <c r="R63"/>
      <c r="S63" t="n">
        <v>1.0</v>
      </c>
      <c r="T63"/>
      <c r="U63" t="n">
        <v>1.0</v>
      </c>
      <c r="V63"/>
      <c r="W63" t="n">
        <v>0.0</v>
      </c>
      <c r="X63" t="n">
        <v>0.0</v>
      </c>
      <c r="Y63" t="n">
        <v>0.0</v>
      </c>
      <c r="Z63"/>
      <c r="AA63" t="n">
        <v>0.0</v>
      </c>
      <c r="AB63"/>
      <c r="AC63" t="n">
        <v>1.0</v>
      </c>
      <c r="AD63" s="5" t="inlineStr">
        <is>
          <t>pcs</t>
        </is>
      </c>
      <c r="AE63"/>
      <c r="AF63" s="5" t="inlineStr">
        <is>
          <t>pcs</t>
        </is>
      </c>
      <c r="AG63"/>
      <c r="AH63" t="inlineStr">
        <is>
          <t>No</t>
        </is>
      </c>
      <c r="AI63" s="2" t="n">
        <v>45841.40872685185</v>
      </c>
      <c r="AJ63" s="1" t="n">
        <f>DATE(2025,7,3)</f>
        <v>0.0</v>
      </c>
      <c r="AK63" t="inlineStr">
        <is>
          <t>Picking</t>
        </is>
      </c>
      <c r="AL63" s="2" t="n">
        <v>45076.52605324074</v>
      </c>
      <c r="AM63"/>
      <c r="AN63"/>
      <c r="AO63" t="n">
        <v>0.0</v>
      </c>
      <c r="AP63" t="n">
        <v>0.0</v>
      </c>
      <c r="AQ63"/>
      <c r="AR63" t="n">
        <v>128.91658462756146</v>
      </c>
      <c r="AS63" t="n">
        <v>128.91658462756146</v>
      </c>
      <c r="AT63" s="5" t="inlineStr">
        <is>
          <t>AUD</t>
        </is>
      </c>
      <c r="AU63" t="inlineStr">
        <is>
          <t>Company Owned</t>
        </is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t="n">
        <v>0.0</v>
      </c>
      <c r="BK63"/>
      <c r="BL63"/>
      <c r="BM63"/>
      <c r="BN63"/>
      <c r="BO63"/>
      <c r="BP63"/>
      <c r="BQ63"/>
      <c r="BR63"/>
      <c r="BS63"/>
      <c r="BT63"/>
      <c r="BU63" t="inlineStr">
        <is>
          <t>Yes</t>
        </is>
      </c>
      <c r="BV63"/>
      <c r="BW63"/>
      <c r="BX63"/>
    </row>
    <row r="64">
      <c r="A64" s="5" t="inlineStr">
        <is>
          <t>SERV</t>
        </is>
      </c>
      <c r="B64" s="5" t="inlineStr">
        <is>
          <t>022966</t>
        </is>
      </c>
      <c r="C64" s="5" t="inlineStr">
        <is>
          <t>Cable Leading Edge T9 Series</t>
        </is>
      </c>
      <c r="D64" s="5" t="inlineStr">
        <is>
          <t>*</t>
        </is>
      </c>
      <c r="E64" s="5" t="inlineStr">
        <is>
          <t>602-018</t>
        </is>
      </c>
      <c r="F64" s="5" t="inlineStr">
        <is>
          <t>*</t>
        </is>
      </c>
      <c r="G64" s="5" t="inlineStr">
        <is>
          <t>*</t>
        </is>
      </c>
      <c r="H64"/>
      <c r="I64"/>
      <c r="J64" s="5" t="inlineStr">
        <is>
          <t>1</t>
        </is>
      </c>
      <c r="K64" s="5" t="inlineStr">
        <is>
          <t>*</t>
        </is>
      </c>
      <c r="L64" t="n">
        <v>0.0</v>
      </c>
      <c r="M64" s="5" t="inlineStr">
        <is>
          <t>602</t>
        </is>
      </c>
      <c r="N64" s="5" t="inlineStr">
        <is>
          <t xml:space="preserve">  -</t>
        </is>
      </c>
      <c r="O64" s="5" t="inlineStr">
        <is>
          <t xml:space="preserve">  -</t>
        </is>
      </c>
      <c r="P64" s="5" t="inlineStr">
        <is>
          <t xml:space="preserve">  -</t>
        </is>
      </c>
      <c r="Q64" s="5" t="inlineStr">
        <is>
          <t>018</t>
        </is>
      </c>
      <c r="R64"/>
      <c r="S64" t="n">
        <v>1.0</v>
      </c>
      <c r="T64"/>
      <c r="U64" t="n">
        <v>1.0</v>
      </c>
      <c r="V64"/>
      <c r="W64" t="n">
        <v>0.0</v>
      </c>
      <c r="X64" t="n">
        <v>0.0</v>
      </c>
      <c r="Y64" t="n">
        <v>0.0</v>
      </c>
      <c r="Z64"/>
      <c r="AA64" t="n">
        <v>0.0</v>
      </c>
      <c r="AB64"/>
      <c r="AC64" t="n">
        <v>1.0</v>
      </c>
      <c r="AD64" s="5" t="inlineStr">
        <is>
          <t>pcs</t>
        </is>
      </c>
      <c r="AE64"/>
      <c r="AF64" s="5" t="inlineStr">
        <is>
          <t>pcs</t>
        </is>
      </c>
      <c r="AG64"/>
      <c r="AH64" t="inlineStr">
        <is>
          <t>No</t>
        </is>
      </c>
      <c r="AI64" s="2" t="n">
        <v>45841.408738425926</v>
      </c>
      <c r="AJ64" s="1" t="n">
        <f>DATE(2025,7,3)</f>
        <v>0.0</v>
      </c>
      <c r="AK64" t="inlineStr">
        <is>
          <t>Picking</t>
        </is>
      </c>
      <c r="AL64" s="2" t="n">
        <v>45735.31670138889</v>
      </c>
      <c r="AM64"/>
      <c r="AN64"/>
      <c r="AO64" t="n">
        <v>0.0</v>
      </c>
      <c r="AP64" t="n">
        <v>0.0</v>
      </c>
      <c r="AQ64"/>
      <c r="AR64" t="n">
        <v>22.82641928767843</v>
      </c>
      <c r="AS64" t="n">
        <v>22.82641928767843</v>
      </c>
      <c r="AT64" s="5" t="inlineStr">
        <is>
          <t>AUD</t>
        </is>
      </c>
      <c r="AU64" t="inlineStr">
        <is>
          <t>Company Owned</t>
        </is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t="n">
        <v>0.0</v>
      </c>
      <c r="BK64"/>
      <c r="BL64"/>
      <c r="BM64"/>
      <c r="BN64"/>
      <c r="BO64"/>
      <c r="BP64"/>
      <c r="BQ64"/>
      <c r="BR64"/>
      <c r="BS64"/>
      <c r="BT64"/>
      <c r="BU64" t="inlineStr">
        <is>
          <t>Yes</t>
        </is>
      </c>
      <c r="BV64"/>
      <c r="BW64"/>
      <c r="BX64"/>
    </row>
    <row r="65">
      <c r="A65" s="5" t="inlineStr">
        <is>
          <t>SERV</t>
        </is>
      </c>
      <c r="B65" s="5" t="inlineStr">
        <is>
          <t>011390</t>
        </is>
      </c>
      <c r="C65" s="5" t="inlineStr">
        <is>
          <t>Bush Reducing Brass 1/2X 3/8</t>
        </is>
      </c>
      <c r="D65" s="5" t="inlineStr">
        <is>
          <t>*</t>
        </is>
      </c>
      <c r="E65" s="5" t="inlineStr">
        <is>
          <t>602-022</t>
        </is>
      </c>
      <c r="F65" s="5" t="inlineStr">
        <is>
          <t>*</t>
        </is>
      </c>
      <c r="G65" s="5" t="inlineStr">
        <is>
          <t>*</t>
        </is>
      </c>
      <c r="H65"/>
      <c r="I65"/>
      <c r="J65" s="5" t="inlineStr">
        <is>
          <t>0</t>
        </is>
      </c>
      <c r="K65" s="5" t="inlineStr">
        <is>
          <t>*</t>
        </is>
      </c>
      <c r="L65" t="n">
        <v>0.0</v>
      </c>
      <c r="M65" s="5" t="inlineStr">
        <is>
          <t>602</t>
        </is>
      </c>
      <c r="N65" s="5" t="inlineStr">
        <is>
          <t xml:space="preserve">  -</t>
        </is>
      </c>
      <c r="O65" s="5" t="inlineStr">
        <is>
          <t xml:space="preserve">  -</t>
        </is>
      </c>
      <c r="P65" s="5" t="inlineStr">
        <is>
          <t xml:space="preserve">  -</t>
        </is>
      </c>
      <c r="Q65" s="5" t="inlineStr">
        <is>
          <t>022</t>
        </is>
      </c>
      <c r="R65"/>
      <c r="S65" t="n">
        <v>3.0</v>
      </c>
      <c r="T65"/>
      <c r="U65" t="n">
        <v>3.0</v>
      </c>
      <c r="V65"/>
      <c r="W65" t="n">
        <v>0.0</v>
      </c>
      <c r="X65" t="n">
        <v>0.0</v>
      </c>
      <c r="Y65" t="n">
        <v>0.0</v>
      </c>
      <c r="Z65"/>
      <c r="AA65" t="n">
        <v>0.0</v>
      </c>
      <c r="AB65"/>
      <c r="AC65" t="n">
        <v>3.0</v>
      </c>
      <c r="AD65" s="5" t="inlineStr">
        <is>
          <t>pcs</t>
        </is>
      </c>
      <c r="AE65"/>
      <c r="AF65" s="5" t="inlineStr">
        <is>
          <t>pcs</t>
        </is>
      </c>
      <c r="AG65"/>
      <c r="AH65" t="inlineStr">
        <is>
          <t>No</t>
        </is>
      </c>
      <c r="AI65" s="2" t="n">
        <v>45841.40875</v>
      </c>
      <c r="AJ65" s="1" t="n">
        <f>DATE(2025,7,3)</f>
        <v>0.0</v>
      </c>
      <c r="AK65" t="inlineStr">
        <is>
          <t>Picking</t>
        </is>
      </c>
      <c r="AL65" s="2" t="n">
        <v>41183.43288194444</v>
      </c>
      <c r="AM65"/>
      <c r="AN65"/>
      <c r="AO65" t="n">
        <v>0.0</v>
      </c>
      <c r="AP65" t="n">
        <v>0.0</v>
      </c>
      <c r="AQ65"/>
      <c r="AR65" t="n">
        <v>1.4942365393320938</v>
      </c>
      <c r="AS65" t="n">
        <v>4.4827096179962815</v>
      </c>
      <c r="AT65" s="5" t="inlineStr">
        <is>
          <t>AUD</t>
        </is>
      </c>
      <c r="AU65" t="inlineStr">
        <is>
          <t>Company Owned</t>
        </is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t="n">
        <v>0.0</v>
      </c>
      <c r="BK65"/>
      <c r="BL65"/>
      <c r="BM65"/>
      <c r="BN65"/>
      <c r="BO65"/>
      <c r="BP65"/>
      <c r="BQ65"/>
      <c r="BR65"/>
      <c r="BS65"/>
      <c r="BT65"/>
      <c r="BU65" t="inlineStr">
        <is>
          <t>Yes</t>
        </is>
      </c>
      <c r="BV65"/>
      <c r="BW65"/>
      <c r="BX65"/>
    </row>
    <row r="66">
      <c r="A66" s="5" t="inlineStr">
        <is>
          <t>SERV</t>
        </is>
      </c>
      <c r="B66" s="5" t="inlineStr">
        <is>
          <t>011915</t>
        </is>
      </c>
      <c r="C66" s="5" t="inlineStr">
        <is>
          <t>Gasket Steam Generator 305 Dia SG30-75</t>
        </is>
      </c>
      <c r="D66" s="5" t="inlineStr">
        <is>
          <t>*</t>
        </is>
      </c>
      <c r="E66" s="5" t="inlineStr">
        <is>
          <t>602-024</t>
        </is>
      </c>
      <c r="F66" s="5" t="inlineStr">
        <is>
          <t>*</t>
        </is>
      </c>
      <c r="G66" s="5" t="inlineStr">
        <is>
          <t>*</t>
        </is>
      </c>
      <c r="H66"/>
      <c r="I66"/>
      <c r="J66" s="5" t="inlineStr">
        <is>
          <t>0</t>
        </is>
      </c>
      <c r="K66" s="5" t="inlineStr">
        <is>
          <t>*</t>
        </is>
      </c>
      <c r="L66" t="n">
        <v>0.0</v>
      </c>
      <c r="M66" s="5" t="inlineStr">
        <is>
          <t>602</t>
        </is>
      </c>
      <c r="N66" s="5" t="inlineStr">
        <is>
          <t xml:space="preserve">  -</t>
        </is>
      </c>
      <c r="O66" s="5" t="inlineStr">
        <is>
          <t xml:space="preserve">  -</t>
        </is>
      </c>
      <c r="P66" s="5" t="inlineStr">
        <is>
          <t xml:space="preserve">  -</t>
        </is>
      </c>
      <c r="Q66" s="5" t="inlineStr">
        <is>
          <t>024</t>
        </is>
      </c>
      <c r="R66"/>
      <c r="S66" t="n">
        <v>1.0</v>
      </c>
      <c r="T66"/>
      <c r="U66" t="n">
        <v>1.0</v>
      </c>
      <c r="V66"/>
      <c r="W66" t="n">
        <v>0.0</v>
      </c>
      <c r="X66" t="n">
        <v>0.0</v>
      </c>
      <c r="Y66" t="n">
        <v>0.0</v>
      </c>
      <c r="Z66"/>
      <c r="AA66" t="n">
        <v>0.0</v>
      </c>
      <c r="AB66"/>
      <c r="AC66" t="n">
        <v>1.0</v>
      </c>
      <c r="AD66" s="5" t="inlineStr">
        <is>
          <t>pcs</t>
        </is>
      </c>
      <c r="AE66"/>
      <c r="AF66" s="5" t="inlineStr">
        <is>
          <t>pcs</t>
        </is>
      </c>
      <c r="AG66"/>
      <c r="AH66" t="inlineStr">
        <is>
          <t>No</t>
        </is>
      </c>
      <c r="AI66" s="2" t="n">
        <v>45841.40877314815</v>
      </c>
      <c r="AJ66" s="1" t="n">
        <f>DATE(2025,7,3)</f>
        <v>0.0</v>
      </c>
      <c r="AK66" t="inlineStr">
        <is>
          <t>Picking</t>
        </is>
      </c>
      <c r="AL66" s="2" t="n">
        <v>44312.43344907407</v>
      </c>
      <c r="AM66"/>
      <c r="AN66"/>
      <c r="AO66" t="n">
        <v>0.0</v>
      </c>
      <c r="AP66" t="n">
        <v>0.0</v>
      </c>
      <c r="AQ66"/>
      <c r="AR66" t="n">
        <v>69.02170689903974</v>
      </c>
      <c r="AS66" t="n">
        <v>69.02170689903974</v>
      </c>
      <c r="AT66" s="5" t="inlineStr">
        <is>
          <t>AUD</t>
        </is>
      </c>
      <c r="AU66" t="inlineStr">
        <is>
          <t>Company Owned</t>
        </is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t="n">
        <v>0.0</v>
      </c>
      <c r="BK66"/>
      <c r="BL66"/>
      <c r="BM66"/>
      <c r="BN66"/>
      <c r="BO66"/>
      <c r="BP66"/>
      <c r="BQ66"/>
      <c r="BR66"/>
      <c r="BS66"/>
      <c r="BT66"/>
      <c r="BU66" t="inlineStr">
        <is>
          <t>Yes</t>
        </is>
      </c>
      <c r="BV66"/>
      <c r="BW66"/>
      <c r="BX66"/>
    </row>
    <row r="67">
      <c r="A67" s="5" t="inlineStr">
        <is>
          <t>SERV</t>
        </is>
      </c>
      <c r="B67" s="5" t="inlineStr">
        <is>
          <t>022434</t>
        </is>
      </c>
      <c r="C67" s="5" t="inlineStr">
        <is>
          <t>Gasket Steam Generator T4</t>
        </is>
      </c>
      <c r="D67" s="5" t="inlineStr">
        <is>
          <t>*</t>
        </is>
      </c>
      <c r="E67" s="5" t="inlineStr">
        <is>
          <t>602-029</t>
        </is>
      </c>
      <c r="F67" s="5" t="inlineStr">
        <is>
          <t>*</t>
        </is>
      </c>
      <c r="G67" s="5" t="inlineStr">
        <is>
          <t>*</t>
        </is>
      </c>
      <c r="H67"/>
      <c r="I67"/>
      <c r="J67" s="5" t="inlineStr">
        <is>
          <t>0</t>
        </is>
      </c>
      <c r="K67" s="5" t="inlineStr">
        <is>
          <t>*</t>
        </is>
      </c>
      <c r="L67" t="n">
        <v>0.0</v>
      </c>
      <c r="M67" s="5" t="inlineStr">
        <is>
          <t>602</t>
        </is>
      </c>
      <c r="N67" s="5" t="inlineStr">
        <is>
          <t xml:space="preserve">  -</t>
        </is>
      </c>
      <c r="O67" s="5" t="inlineStr">
        <is>
          <t xml:space="preserve">  -</t>
        </is>
      </c>
      <c r="P67" s="5" t="inlineStr">
        <is>
          <t xml:space="preserve">  -</t>
        </is>
      </c>
      <c r="Q67" s="5" t="inlineStr">
        <is>
          <t>029</t>
        </is>
      </c>
      <c r="R67"/>
      <c r="S67" t="n">
        <v>2.0</v>
      </c>
      <c r="T67"/>
      <c r="U67" t="n">
        <v>2.0</v>
      </c>
      <c r="V67"/>
      <c r="W67" t="n">
        <v>0.0</v>
      </c>
      <c r="X67" t="n">
        <v>0.0</v>
      </c>
      <c r="Y67" t="n">
        <v>0.0</v>
      </c>
      <c r="Z67"/>
      <c r="AA67" t="n">
        <v>0.0</v>
      </c>
      <c r="AB67"/>
      <c r="AC67" t="n">
        <v>2.0</v>
      </c>
      <c r="AD67" s="5" t="inlineStr">
        <is>
          <t>pcs</t>
        </is>
      </c>
      <c r="AE67"/>
      <c r="AF67" s="5" t="inlineStr">
        <is>
          <t>pcs</t>
        </is>
      </c>
      <c r="AG67"/>
      <c r="AH67" t="inlineStr">
        <is>
          <t>No</t>
        </is>
      </c>
      <c r="AI67" s="2" t="n">
        <v>45841.408784722225</v>
      </c>
      <c r="AJ67" s="1" t="n">
        <f>DATE(2025,7,3)</f>
        <v>0.0</v>
      </c>
      <c r="AK67" t="inlineStr">
        <is>
          <t>Picking</t>
        </is>
      </c>
      <c r="AL67" s="2" t="n">
        <v>44336.59133101852</v>
      </c>
      <c r="AM67"/>
      <c r="AN67"/>
      <c r="AO67" t="n">
        <v>0.0</v>
      </c>
      <c r="AP67" t="n">
        <v>0.0</v>
      </c>
      <c r="AQ67"/>
      <c r="AR67" t="n">
        <v>0.01</v>
      </c>
      <c r="AS67" t="n">
        <v>0.02</v>
      </c>
      <c r="AT67" s="5" t="inlineStr">
        <is>
          <t>AUD</t>
        </is>
      </c>
      <c r="AU67" t="inlineStr">
        <is>
          <t>Company Owned</t>
        </is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t="n">
        <v>0.0</v>
      </c>
      <c r="BK67"/>
      <c r="BL67"/>
      <c r="BM67"/>
      <c r="BN67"/>
      <c r="BO67"/>
      <c r="BP67"/>
      <c r="BQ67"/>
      <c r="BR67"/>
      <c r="BS67"/>
      <c r="BT67"/>
      <c r="BU67" t="inlineStr">
        <is>
          <t>Yes</t>
        </is>
      </c>
      <c r="BV67"/>
      <c r="BW67"/>
      <c r="BX67"/>
    </row>
    <row r="68">
      <c r="A68" s="5" t="inlineStr">
        <is>
          <t>SERV</t>
        </is>
      </c>
      <c r="B68" s="5" t="inlineStr">
        <is>
          <t>022468</t>
        </is>
      </c>
      <c r="C68" s="5" t="inlineStr">
        <is>
          <t>Reducer 8Msl X 1/2Tube 8 Bore</t>
        </is>
      </c>
      <c r="D68" s="5" t="inlineStr">
        <is>
          <t>*</t>
        </is>
      </c>
      <c r="E68" s="5" t="inlineStr">
        <is>
          <t>602-022</t>
        </is>
      </c>
      <c r="F68" s="5" t="inlineStr">
        <is>
          <t>*</t>
        </is>
      </c>
      <c r="G68" s="5" t="inlineStr">
        <is>
          <t>*</t>
        </is>
      </c>
      <c r="H68"/>
      <c r="I68"/>
      <c r="J68" s="5" t="inlineStr">
        <is>
          <t>2</t>
        </is>
      </c>
      <c r="K68" s="5" t="inlineStr">
        <is>
          <t>*</t>
        </is>
      </c>
      <c r="L68" t="n">
        <v>0.0</v>
      </c>
      <c r="M68" s="5" t="inlineStr">
        <is>
          <t>602</t>
        </is>
      </c>
      <c r="N68" s="5" t="inlineStr">
        <is>
          <t xml:space="preserve">  -</t>
        </is>
      </c>
      <c r="O68" s="5" t="inlineStr">
        <is>
          <t xml:space="preserve">  -</t>
        </is>
      </c>
      <c r="P68" s="5" t="inlineStr">
        <is>
          <t xml:space="preserve">  -</t>
        </is>
      </c>
      <c r="Q68" s="5" t="inlineStr">
        <is>
          <t>022</t>
        </is>
      </c>
      <c r="R68"/>
      <c r="S68" t="n">
        <v>3.0</v>
      </c>
      <c r="T68"/>
      <c r="U68" t="n">
        <v>3.0</v>
      </c>
      <c r="V68"/>
      <c r="W68" t="n">
        <v>0.0</v>
      </c>
      <c r="X68" t="n">
        <v>0.0</v>
      </c>
      <c r="Y68" t="n">
        <v>0.0</v>
      </c>
      <c r="Z68"/>
      <c r="AA68" t="n">
        <v>0.0</v>
      </c>
      <c r="AB68"/>
      <c r="AC68" t="n">
        <v>3.0</v>
      </c>
      <c r="AD68" s="5" t="inlineStr">
        <is>
          <t>pcs</t>
        </is>
      </c>
      <c r="AE68"/>
      <c r="AF68" s="5" t="inlineStr">
        <is>
          <t>pcs</t>
        </is>
      </c>
      <c r="AG68"/>
      <c r="AH68" t="inlineStr">
        <is>
          <t>No</t>
        </is>
      </c>
      <c r="AI68" s="2" t="n">
        <v>45841.40875</v>
      </c>
      <c r="AJ68" s="1" t="n">
        <f>DATE(2025,7,3)</f>
        <v>0.0</v>
      </c>
      <c r="AK68" t="inlineStr">
        <is>
          <t>Picking</t>
        </is>
      </c>
      <c r="AL68" s="2" t="n">
        <v>44336.591412037036</v>
      </c>
      <c r="AM68"/>
      <c r="AN68"/>
      <c r="AO68" t="n">
        <v>0.0</v>
      </c>
      <c r="AP68" t="n">
        <v>0.0</v>
      </c>
      <c r="AQ68"/>
      <c r="AR68" t="n">
        <v>0.01</v>
      </c>
      <c r="AS68" t="n">
        <v>0.03</v>
      </c>
      <c r="AT68" s="5" t="inlineStr">
        <is>
          <t>AUD</t>
        </is>
      </c>
      <c r="AU68" t="inlineStr">
        <is>
          <t>Company Owned</t>
        </is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t="n">
        <v>0.0</v>
      </c>
      <c r="BK68"/>
      <c r="BL68"/>
      <c r="BM68"/>
      <c r="BN68"/>
      <c r="BO68"/>
      <c r="BP68"/>
      <c r="BQ68"/>
      <c r="BR68"/>
      <c r="BS68"/>
      <c r="BT68"/>
      <c r="BU68" t="inlineStr">
        <is>
          <t>Yes</t>
        </is>
      </c>
      <c r="BV68"/>
      <c r="BW68"/>
      <c r="BX68"/>
    </row>
    <row r="69">
      <c r="A69" s="5" t="inlineStr">
        <is>
          <t>SERV</t>
        </is>
      </c>
      <c r="B69" s="5" t="inlineStr">
        <is>
          <t>014163</t>
        </is>
      </c>
      <c r="C69" s="5" t="inlineStr">
        <is>
          <t>Element Panwasher 005 Model</t>
        </is>
      </c>
      <c r="D69" s="5" t="inlineStr">
        <is>
          <t>*</t>
        </is>
      </c>
      <c r="E69" s="5" t="inlineStr">
        <is>
          <t>602-012</t>
        </is>
      </c>
      <c r="F69" s="5" t="inlineStr">
        <is>
          <t>*</t>
        </is>
      </c>
      <c r="G69" s="5" t="inlineStr">
        <is>
          <t>*</t>
        </is>
      </c>
      <c r="H69"/>
      <c r="I69"/>
      <c r="J69" s="5" t="inlineStr">
        <is>
          <t>0</t>
        </is>
      </c>
      <c r="K69" s="5" t="inlineStr">
        <is>
          <t>*</t>
        </is>
      </c>
      <c r="L69" t="n">
        <v>0.0</v>
      </c>
      <c r="M69" s="5" t="inlineStr">
        <is>
          <t>602</t>
        </is>
      </c>
      <c r="N69" s="5" t="inlineStr">
        <is>
          <t xml:space="preserve">  -</t>
        </is>
      </c>
      <c r="O69" s="5" t="inlineStr">
        <is>
          <t xml:space="preserve">  -</t>
        </is>
      </c>
      <c r="P69" s="5" t="inlineStr">
        <is>
          <t xml:space="preserve">  -</t>
        </is>
      </c>
      <c r="Q69" s="5" t="inlineStr">
        <is>
          <t>012</t>
        </is>
      </c>
      <c r="R69"/>
      <c r="S69" t="n">
        <v>1.0</v>
      </c>
      <c r="T69"/>
      <c r="U69" t="n">
        <v>1.0</v>
      </c>
      <c r="V69"/>
      <c r="W69" t="n">
        <v>0.0</v>
      </c>
      <c r="X69" t="n">
        <v>0.0</v>
      </c>
      <c r="Y69" t="n">
        <v>0.0</v>
      </c>
      <c r="Z69"/>
      <c r="AA69" t="n">
        <v>0.0</v>
      </c>
      <c r="AB69"/>
      <c r="AC69" t="n">
        <v>1.0</v>
      </c>
      <c r="AD69" s="5" t="inlineStr">
        <is>
          <t>pcs</t>
        </is>
      </c>
      <c r="AE69"/>
      <c r="AF69" s="5" t="inlineStr">
        <is>
          <t>pcs</t>
        </is>
      </c>
      <c r="AG69"/>
      <c r="AH69" t="inlineStr">
        <is>
          <t>No</t>
        </is>
      </c>
      <c r="AI69" s="2" t="n">
        <v>45841.408738425926</v>
      </c>
      <c r="AJ69" s="1" t="n">
        <f>DATE(2025,7,3)</f>
        <v>0.0</v>
      </c>
      <c r="AK69" t="inlineStr">
        <is>
          <t>Picking</t>
        </is>
      </c>
      <c r="AL69" s="2" t="n">
        <v>41183.43346064815</v>
      </c>
      <c r="AM69"/>
      <c r="AN69"/>
      <c r="AO69" t="n">
        <v>0.0</v>
      </c>
      <c r="AP69" t="n">
        <v>0.0</v>
      </c>
      <c r="AQ69"/>
      <c r="AR69" t="n">
        <v>174.54552116722</v>
      </c>
      <c r="AS69" t="n">
        <v>174.54552116722</v>
      </c>
      <c r="AT69" s="5" t="inlineStr">
        <is>
          <t>AUD</t>
        </is>
      </c>
      <c r="AU69" t="inlineStr">
        <is>
          <t>Company Owned</t>
        </is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t="n">
        <v>0.0</v>
      </c>
      <c r="BK69"/>
      <c r="BL69"/>
      <c r="BM69"/>
      <c r="BN69"/>
      <c r="BO69"/>
      <c r="BP69"/>
      <c r="BQ69"/>
      <c r="BR69"/>
      <c r="BS69"/>
      <c r="BT69"/>
      <c r="BU69" t="inlineStr">
        <is>
          <t>Yes</t>
        </is>
      </c>
      <c r="BV69"/>
      <c r="BW69"/>
      <c r="BX69"/>
    </row>
    <row r="70">
      <c r="A70" s="5" t="inlineStr">
        <is>
          <t>SERV</t>
        </is>
      </c>
      <c r="B70" s="5" t="inlineStr">
        <is>
          <t>020835</t>
        </is>
      </c>
      <c r="C70" s="5" t="inlineStr">
        <is>
          <t>Wheel Carriage Recess 65mm</t>
        </is>
      </c>
      <c r="D70" s="5" t="inlineStr">
        <is>
          <t>*</t>
        </is>
      </c>
      <c r="E70" s="5" t="inlineStr">
        <is>
          <t>602-017</t>
        </is>
      </c>
      <c r="F70" s="5" t="inlineStr">
        <is>
          <t>*</t>
        </is>
      </c>
      <c r="G70" s="5" t="inlineStr">
        <is>
          <t>*</t>
        </is>
      </c>
      <c r="H70"/>
      <c r="I70"/>
      <c r="J70" s="5" t="inlineStr">
        <is>
          <t>0</t>
        </is>
      </c>
      <c r="K70" s="5" t="inlineStr">
        <is>
          <t>*</t>
        </is>
      </c>
      <c r="L70" t="n">
        <v>0.0</v>
      </c>
      <c r="M70" s="5" t="inlineStr">
        <is>
          <t>602</t>
        </is>
      </c>
      <c r="N70" s="5" t="inlineStr">
        <is>
          <t xml:space="preserve">  -</t>
        </is>
      </c>
      <c r="O70" s="5" t="inlineStr">
        <is>
          <t xml:space="preserve">  -</t>
        </is>
      </c>
      <c r="P70" s="5" t="inlineStr">
        <is>
          <t xml:space="preserve">  -</t>
        </is>
      </c>
      <c r="Q70" s="5" t="inlineStr">
        <is>
          <t>017</t>
        </is>
      </c>
      <c r="R70"/>
      <c r="S70" t="n">
        <v>4.0</v>
      </c>
      <c r="T70"/>
      <c r="U70" t="n">
        <v>4.0</v>
      </c>
      <c r="V70"/>
      <c r="W70" t="n">
        <v>0.0</v>
      </c>
      <c r="X70" t="n">
        <v>0.0</v>
      </c>
      <c r="Y70" t="n">
        <v>0.0</v>
      </c>
      <c r="Z70"/>
      <c r="AA70" t="n">
        <v>0.0</v>
      </c>
      <c r="AB70"/>
      <c r="AC70" t="n">
        <v>4.0</v>
      </c>
      <c r="AD70" s="5" t="inlineStr">
        <is>
          <t>pcs</t>
        </is>
      </c>
      <c r="AE70"/>
      <c r="AF70" s="5" t="inlineStr">
        <is>
          <t>pcs</t>
        </is>
      </c>
      <c r="AG70"/>
      <c r="AH70" t="inlineStr">
        <is>
          <t>No</t>
        </is>
      </c>
      <c r="AI70" s="2" t="n">
        <v>45841.408738425926</v>
      </c>
      <c r="AJ70" s="1" t="n">
        <f>DATE(2025,7,3)</f>
        <v>0.0</v>
      </c>
      <c r="AK70" t="inlineStr">
        <is>
          <t>Picking</t>
        </is>
      </c>
      <c r="AL70" s="2" t="n">
        <v>41183.44466435185</v>
      </c>
      <c r="AM70"/>
      <c r="AN70"/>
      <c r="AO70" t="n">
        <v>0.0</v>
      </c>
      <c r="AP70" t="n">
        <v>0.0</v>
      </c>
      <c r="AQ70"/>
      <c r="AR70" t="n">
        <v>8.387746011448654</v>
      </c>
      <c r="AS70" t="n">
        <v>33.550984045794614</v>
      </c>
      <c r="AT70" s="5" t="inlineStr">
        <is>
          <t>AUD</t>
        </is>
      </c>
      <c r="AU70" t="inlineStr">
        <is>
          <t>Company Owned</t>
        </is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t="n">
        <v>0.0</v>
      </c>
      <c r="BK70"/>
      <c r="BL70"/>
      <c r="BM70"/>
      <c r="BN70"/>
      <c r="BO70"/>
      <c r="BP70"/>
      <c r="BQ70"/>
      <c r="BR70"/>
      <c r="BS70"/>
      <c r="BT70"/>
      <c r="BU70" t="inlineStr">
        <is>
          <t>Yes</t>
        </is>
      </c>
      <c r="BV70"/>
      <c r="BW70"/>
      <c r="BX70"/>
    </row>
    <row r="71">
      <c r="A71" s="5" t="inlineStr">
        <is>
          <t>SERV</t>
        </is>
      </c>
      <c r="B71" s="5" t="inlineStr">
        <is>
          <t>022533</t>
        </is>
      </c>
      <c r="C71" s="5" t="inlineStr">
        <is>
          <t>Gasket Steam Generator T5 T6 &amp; T9</t>
        </is>
      </c>
      <c r="D71" s="5" t="inlineStr">
        <is>
          <t>*</t>
        </is>
      </c>
      <c r="E71" s="5" t="inlineStr">
        <is>
          <t>602-029</t>
        </is>
      </c>
      <c r="F71" s="5" t="inlineStr">
        <is>
          <t>*</t>
        </is>
      </c>
      <c r="G71" s="5" t="inlineStr">
        <is>
          <t>*</t>
        </is>
      </c>
      <c r="H71"/>
      <c r="I71"/>
      <c r="J71" s="5" t="inlineStr">
        <is>
          <t>5</t>
        </is>
      </c>
      <c r="K71" s="5" t="inlineStr">
        <is>
          <t>*</t>
        </is>
      </c>
      <c r="L71" t="n">
        <v>0.0</v>
      </c>
      <c r="M71" s="5" t="inlineStr">
        <is>
          <t>602</t>
        </is>
      </c>
      <c r="N71" s="5" t="inlineStr">
        <is>
          <t xml:space="preserve">  -</t>
        </is>
      </c>
      <c r="O71" s="5" t="inlineStr">
        <is>
          <t xml:space="preserve">  -</t>
        </is>
      </c>
      <c r="P71" s="5" t="inlineStr">
        <is>
          <t xml:space="preserve">  -</t>
        </is>
      </c>
      <c r="Q71" s="5" t="inlineStr">
        <is>
          <t>029</t>
        </is>
      </c>
      <c r="R71"/>
      <c r="S71" t="n">
        <v>2.0</v>
      </c>
      <c r="T71"/>
      <c r="U71" t="n">
        <v>2.0</v>
      </c>
      <c r="V71"/>
      <c r="W71" t="n">
        <v>0.0</v>
      </c>
      <c r="X71" t="n">
        <v>0.0</v>
      </c>
      <c r="Y71" t="n">
        <v>0.0</v>
      </c>
      <c r="Z71"/>
      <c r="AA71" t="n">
        <v>0.0</v>
      </c>
      <c r="AB71"/>
      <c r="AC71" t="n">
        <v>2.0</v>
      </c>
      <c r="AD71" s="5" t="inlineStr">
        <is>
          <t>pcs</t>
        </is>
      </c>
      <c r="AE71"/>
      <c r="AF71" s="5" t="inlineStr">
        <is>
          <t>pcs</t>
        </is>
      </c>
      <c r="AG71"/>
      <c r="AH71" t="inlineStr">
        <is>
          <t>No</t>
        </is>
      </c>
      <c r="AI71" s="2" t="n">
        <v>45988.36347222222</v>
      </c>
      <c r="AJ71" s="1" t="n">
        <f>DATE(2025,7,3)</f>
        <v>0.0</v>
      </c>
      <c r="AK71" t="inlineStr">
        <is>
          <t>Picking</t>
        </is>
      </c>
      <c r="AL71" s="2" t="n">
        <v>45168.451215277775</v>
      </c>
      <c r="AM71"/>
      <c r="AN71"/>
      <c r="AO71" t="n">
        <v>0.0</v>
      </c>
      <c r="AP71" t="n">
        <v>1.0</v>
      </c>
      <c r="AQ71"/>
      <c r="AR71" t="n">
        <v>61.5875</v>
      </c>
      <c r="AS71" t="n">
        <v>123.175</v>
      </c>
      <c r="AT71" s="5" t="inlineStr">
        <is>
          <t>AUD</t>
        </is>
      </c>
      <c r="AU71" t="inlineStr">
        <is>
          <t>Company Owned</t>
        </is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t="n">
        <v>0.0</v>
      </c>
      <c r="BK71"/>
      <c r="BL71"/>
      <c r="BM71"/>
      <c r="BN71"/>
      <c r="BO71"/>
      <c r="BP71"/>
      <c r="BQ71"/>
      <c r="BR71"/>
      <c r="BS71"/>
      <c r="BT71"/>
      <c r="BU71" t="inlineStr">
        <is>
          <t>Yes</t>
        </is>
      </c>
      <c r="BV71"/>
      <c r="BW71"/>
      <c r="BX71"/>
    </row>
    <row r="72">
      <c r="A72" s="5" t="inlineStr">
        <is>
          <t>SERV</t>
        </is>
      </c>
      <c r="B72" s="5" t="inlineStr">
        <is>
          <t>022033</t>
        </is>
      </c>
      <c r="C72" s="5" t="inlineStr">
        <is>
          <t>Seal Thermocouple Gland Fitting</t>
        </is>
      </c>
      <c r="D72" s="5" t="inlineStr">
        <is>
          <t>*</t>
        </is>
      </c>
      <c r="E72" s="5" t="inlineStr">
        <is>
          <t>602-060</t>
        </is>
      </c>
      <c r="F72" s="5" t="inlineStr">
        <is>
          <t>*</t>
        </is>
      </c>
      <c r="G72" s="5" t="inlineStr">
        <is>
          <t>*</t>
        </is>
      </c>
      <c r="H72"/>
      <c r="I72"/>
      <c r="J72" s="5" t="inlineStr">
        <is>
          <t>1</t>
        </is>
      </c>
      <c r="K72" s="5" t="inlineStr">
        <is>
          <t>*</t>
        </is>
      </c>
      <c r="L72" t="n">
        <v>0.0</v>
      </c>
      <c r="M72" s="5" t="inlineStr">
        <is>
          <t>602</t>
        </is>
      </c>
      <c r="N72" s="5" t="inlineStr">
        <is>
          <t xml:space="preserve">  -</t>
        </is>
      </c>
      <c r="O72" s="5" t="inlineStr">
        <is>
          <t xml:space="preserve">  -</t>
        </is>
      </c>
      <c r="P72" s="5" t="inlineStr">
        <is>
          <t xml:space="preserve">  -</t>
        </is>
      </c>
      <c r="Q72" s="5" t="inlineStr">
        <is>
          <t>060</t>
        </is>
      </c>
      <c r="R72"/>
      <c r="S72" t="n">
        <v>20.0</v>
      </c>
      <c r="T72"/>
      <c r="U72" t="n">
        <v>20.0</v>
      </c>
      <c r="V72"/>
      <c r="W72" t="n">
        <v>0.0</v>
      </c>
      <c r="X72" t="n">
        <v>0.0</v>
      </c>
      <c r="Y72" t="n">
        <v>0.0</v>
      </c>
      <c r="Z72"/>
      <c r="AA72" t="n">
        <v>0.0</v>
      </c>
      <c r="AB72"/>
      <c r="AC72" t="n">
        <v>20.0</v>
      </c>
      <c r="AD72" s="5" t="inlineStr">
        <is>
          <t>pcs</t>
        </is>
      </c>
      <c r="AE72"/>
      <c r="AF72" s="5" t="inlineStr">
        <is>
          <t>pcs</t>
        </is>
      </c>
      <c r="AG72"/>
      <c r="AH72" t="inlineStr">
        <is>
          <t>No</t>
        </is>
      </c>
      <c r="AI72" s="2" t="n">
        <v>45841.408784722225</v>
      </c>
      <c r="AJ72" s="1" t="n">
        <f>DATE(2025,7,3)</f>
        <v>0.0</v>
      </c>
      <c r="AK72" t="inlineStr">
        <is>
          <t>Picking</t>
        </is>
      </c>
      <c r="AL72" s="2" t="n">
        <v>44131.59135416667</v>
      </c>
      <c r="AM72"/>
      <c r="AN72"/>
      <c r="AO72" t="n">
        <v>0.0</v>
      </c>
      <c r="AP72" t="n">
        <v>10.0</v>
      </c>
      <c r="AQ72"/>
      <c r="AR72" t="n">
        <v>1.756</v>
      </c>
      <c r="AS72" t="n">
        <v>35.12</v>
      </c>
      <c r="AT72" s="5" t="inlineStr">
        <is>
          <t>AUD</t>
        </is>
      </c>
      <c r="AU72" t="inlineStr">
        <is>
          <t>Company Owned</t>
        </is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t="n">
        <v>0.0</v>
      </c>
      <c r="BK72"/>
      <c r="BL72"/>
      <c r="BM72"/>
      <c r="BN72"/>
      <c r="BO72"/>
      <c r="BP72"/>
      <c r="BQ72"/>
      <c r="BR72"/>
      <c r="BS72"/>
      <c r="BT72"/>
      <c r="BU72" t="inlineStr">
        <is>
          <t>Yes</t>
        </is>
      </c>
      <c r="BV72"/>
      <c r="BW72"/>
      <c r="BX72"/>
    </row>
    <row r="73">
      <c r="A73" s="5" t="inlineStr">
        <is>
          <t>SERV</t>
        </is>
      </c>
      <c r="B73" s="5" t="inlineStr">
        <is>
          <t>010057</t>
        </is>
      </c>
      <c r="C73" s="5" t="inlineStr">
        <is>
          <t>Nipple Brass Hex 1/2 BSP</t>
        </is>
      </c>
      <c r="D73" s="5" t="inlineStr">
        <is>
          <t>*</t>
        </is>
      </c>
      <c r="E73" s="5" t="inlineStr">
        <is>
          <t>602-022</t>
        </is>
      </c>
      <c r="F73" s="5" t="inlineStr">
        <is>
          <t>*</t>
        </is>
      </c>
      <c r="G73" s="5" t="inlineStr">
        <is>
          <t>*</t>
        </is>
      </c>
      <c r="H73"/>
      <c r="I73"/>
      <c r="J73" s="5" t="inlineStr">
        <is>
          <t>0</t>
        </is>
      </c>
      <c r="K73" s="5" t="inlineStr">
        <is>
          <t>*</t>
        </is>
      </c>
      <c r="L73" t="n">
        <v>0.0</v>
      </c>
      <c r="M73" s="5" t="inlineStr">
        <is>
          <t>602</t>
        </is>
      </c>
      <c r="N73" s="5" t="inlineStr">
        <is>
          <t xml:space="preserve">  -</t>
        </is>
      </c>
      <c r="O73" s="5" t="inlineStr">
        <is>
          <t xml:space="preserve">  -</t>
        </is>
      </c>
      <c r="P73" s="5" t="inlineStr">
        <is>
          <t xml:space="preserve">  -</t>
        </is>
      </c>
      <c r="Q73" s="5" t="inlineStr">
        <is>
          <t>022</t>
        </is>
      </c>
      <c r="R73"/>
      <c r="S73" t="n">
        <v>1.0</v>
      </c>
      <c r="T73"/>
      <c r="U73" t="n">
        <v>1.0</v>
      </c>
      <c r="V73"/>
      <c r="W73" t="n">
        <v>0.0</v>
      </c>
      <c r="X73" t="n">
        <v>0.0</v>
      </c>
      <c r="Y73" t="n">
        <v>0.0</v>
      </c>
      <c r="Z73"/>
      <c r="AA73" t="n">
        <v>0.0</v>
      </c>
      <c r="AB73"/>
      <c r="AC73" t="n">
        <v>1.0</v>
      </c>
      <c r="AD73" s="5" t="inlineStr">
        <is>
          <t>pcs</t>
        </is>
      </c>
      <c r="AE73"/>
      <c r="AF73" s="5" t="inlineStr">
        <is>
          <t>pcs</t>
        </is>
      </c>
      <c r="AG73"/>
      <c r="AH73" t="inlineStr">
        <is>
          <t>No</t>
        </is>
      </c>
      <c r="AI73" s="2" t="n">
        <v>45841.40875</v>
      </c>
      <c r="AJ73" s="1" t="n">
        <f>DATE(2025,7,3)</f>
        <v>0.0</v>
      </c>
      <c r="AK73" t="inlineStr">
        <is>
          <t>Picking</t>
        </is>
      </c>
      <c r="AL73" s="2" t="n">
        <v>44336.590891203705</v>
      </c>
      <c r="AM73"/>
      <c r="AN73"/>
      <c r="AO73" t="n">
        <v>0.0</v>
      </c>
      <c r="AP73" t="n">
        <v>0.0</v>
      </c>
      <c r="AQ73"/>
      <c r="AR73" t="n">
        <v>0.01</v>
      </c>
      <c r="AS73" t="n">
        <v>0.01</v>
      </c>
      <c r="AT73" s="5" t="inlineStr">
        <is>
          <t>AUD</t>
        </is>
      </c>
      <c r="AU73" t="inlineStr">
        <is>
          <t>Company Owned</t>
        </is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t="n">
        <v>0.0</v>
      </c>
      <c r="BK73"/>
      <c r="BL73"/>
      <c r="BM73"/>
      <c r="BN73"/>
      <c r="BO73"/>
      <c r="BP73"/>
      <c r="BQ73"/>
      <c r="BR73"/>
      <c r="BS73"/>
      <c r="BT73"/>
      <c r="BU73" t="inlineStr">
        <is>
          <t>Yes</t>
        </is>
      </c>
      <c r="BV73"/>
      <c r="BW73"/>
      <c r="BX73"/>
    </row>
    <row r="74">
      <c r="A74" s="5" t="inlineStr">
        <is>
          <t>SERV</t>
        </is>
      </c>
      <c r="B74" s="5" t="inlineStr">
        <is>
          <t>010231</t>
        </is>
      </c>
      <c r="C74" s="5" t="inlineStr">
        <is>
          <t>Strainer Chamber Sterilizer</t>
        </is>
      </c>
      <c r="D74" s="5" t="inlineStr">
        <is>
          <t>*</t>
        </is>
      </c>
      <c r="E74" s="5" t="inlineStr">
        <is>
          <t>602-016</t>
        </is>
      </c>
      <c r="F74" s="5" t="inlineStr">
        <is>
          <t>*</t>
        </is>
      </c>
      <c r="G74" s="5" t="inlineStr">
        <is>
          <t>*</t>
        </is>
      </c>
      <c r="H74"/>
      <c r="I74"/>
      <c r="J74" s="5" t="inlineStr">
        <is>
          <t>5</t>
        </is>
      </c>
      <c r="K74" s="5" t="inlineStr">
        <is>
          <t>*</t>
        </is>
      </c>
      <c r="L74" t="n">
        <v>0.0</v>
      </c>
      <c r="M74" s="5" t="inlineStr">
        <is>
          <t>602</t>
        </is>
      </c>
      <c r="N74" s="5" t="inlineStr">
        <is>
          <t xml:space="preserve">  -</t>
        </is>
      </c>
      <c r="O74" s="5" t="inlineStr">
        <is>
          <t xml:space="preserve">  -</t>
        </is>
      </c>
      <c r="P74" s="5" t="inlineStr">
        <is>
          <t xml:space="preserve">  -</t>
        </is>
      </c>
      <c r="Q74" s="5" t="inlineStr">
        <is>
          <t>016</t>
        </is>
      </c>
      <c r="R74"/>
      <c r="S74" t="n">
        <v>2.0</v>
      </c>
      <c r="T74"/>
      <c r="U74" t="n">
        <v>2.0</v>
      </c>
      <c r="V74"/>
      <c r="W74" t="n">
        <v>0.0</v>
      </c>
      <c r="X74" t="n">
        <v>0.0</v>
      </c>
      <c r="Y74" t="n">
        <v>0.0</v>
      </c>
      <c r="Z74"/>
      <c r="AA74" t="n">
        <v>0.0</v>
      </c>
      <c r="AB74"/>
      <c r="AC74" t="n">
        <v>2.0</v>
      </c>
      <c r="AD74" s="5" t="inlineStr">
        <is>
          <t>pcs</t>
        </is>
      </c>
      <c r="AE74"/>
      <c r="AF74" s="5" t="inlineStr">
        <is>
          <t>pcs</t>
        </is>
      </c>
      <c r="AG74"/>
      <c r="AH74" t="inlineStr">
        <is>
          <t>No</t>
        </is>
      </c>
      <c r="AI74" s="2" t="n">
        <v>45841.408738425926</v>
      </c>
      <c r="AJ74" s="1" t="n">
        <f>DATE(2025,7,3)</f>
        <v>0.0</v>
      </c>
      <c r="AK74" t="inlineStr">
        <is>
          <t>Picking</t>
        </is>
      </c>
      <c r="AL74" s="2" t="n">
        <v>44336.59091435185</v>
      </c>
      <c r="AM74"/>
      <c r="AN74"/>
      <c r="AO74" t="n">
        <v>0.0</v>
      </c>
      <c r="AP74" t="n">
        <v>0.0</v>
      </c>
      <c r="AQ74"/>
      <c r="AR74" t="n">
        <v>0.01</v>
      </c>
      <c r="AS74" t="n">
        <v>0.02</v>
      </c>
      <c r="AT74" s="5" t="inlineStr">
        <is>
          <t>AUD</t>
        </is>
      </c>
      <c r="AU74" t="inlineStr">
        <is>
          <t>Company Owned</t>
        </is>
      </c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t="n">
        <v>0.0</v>
      </c>
      <c r="BK74"/>
      <c r="BL74"/>
      <c r="BM74"/>
      <c r="BN74"/>
      <c r="BO74"/>
      <c r="BP74"/>
      <c r="BQ74"/>
      <c r="BR74"/>
      <c r="BS74"/>
      <c r="BT74"/>
      <c r="BU74" t="inlineStr">
        <is>
          <t>Yes</t>
        </is>
      </c>
      <c r="BV74"/>
      <c r="BW74"/>
      <c r="BX74"/>
    </row>
    <row r="75">
      <c r="A75" s="5" t="inlineStr">
        <is>
          <t>SERV</t>
        </is>
      </c>
      <c r="B75" s="5" t="inlineStr">
        <is>
          <t>010240</t>
        </is>
      </c>
      <c r="C75" s="5" t="inlineStr">
        <is>
          <t>Nipple Brass Hex 3/4</t>
        </is>
      </c>
      <c r="D75" s="5" t="inlineStr">
        <is>
          <t>*</t>
        </is>
      </c>
      <c r="E75" s="5" t="inlineStr">
        <is>
          <t>602-022</t>
        </is>
      </c>
      <c r="F75" s="5" t="inlineStr">
        <is>
          <t>*</t>
        </is>
      </c>
      <c r="G75" s="5" t="inlineStr">
        <is>
          <t>*</t>
        </is>
      </c>
      <c r="H75"/>
      <c r="I75"/>
      <c r="J75" s="5" t="inlineStr">
        <is>
          <t>0</t>
        </is>
      </c>
      <c r="K75" s="5" t="inlineStr">
        <is>
          <t>*</t>
        </is>
      </c>
      <c r="L75" t="n">
        <v>0.0</v>
      </c>
      <c r="M75" s="5" t="inlineStr">
        <is>
          <t>602</t>
        </is>
      </c>
      <c r="N75" s="5" t="inlineStr">
        <is>
          <t xml:space="preserve">  -</t>
        </is>
      </c>
      <c r="O75" s="5" t="inlineStr">
        <is>
          <t xml:space="preserve">  -</t>
        </is>
      </c>
      <c r="P75" s="5" t="inlineStr">
        <is>
          <t xml:space="preserve">  -</t>
        </is>
      </c>
      <c r="Q75" s="5" t="inlineStr">
        <is>
          <t>022</t>
        </is>
      </c>
      <c r="R75"/>
      <c r="S75" t="n">
        <v>1.0</v>
      </c>
      <c r="T75"/>
      <c r="U75" t="n">
        <v>1.0</v>
      </c>
      <c r="V75"/>
      <c r="W75" t="n">
        <v>0.0</v>
      </c>
      <c r="X75" t="n">
        <v>0.0</v>
      </c>
      <c r="Y75" t="n">
        <v>0.0</v>
      </c>
      <c r="Z75"/>
      <c r="AA75" t="n">
        <v>0.0</v>
      </c>
      <c r="AB75"/>
      <c r="AC75" t="n">
        <v>1.0</v>
      </c>
      <c r="AD75" s="5" t="inlineStr">
        <is>
          <t>pcs</t>
        </is>
      </c>
      <c r="AE75"/>
      <c r="AF75" s="5" t="inlineStr">
        <is>
          <t>pcs</t>
        </is>
      </c>
      <c r="AG75"/>
      <c r="AH75" t="inlineStr">
        <is>
          <t>No</t>
        </is>
      </c>
      <c r="AI75" s="2" t="n">
        <v>45841.40875</v>
      </c>
      <c r="AJ75" s="1" t="n">
        <f>DATE(2025,7,3)</f>
        <v>0.0</v>
      </c>
      <c r="AK75" t="inlineStr">
        <is>
          <t>Picking</t>
        </is>
      </c>
      <c r="AL75" s="2" t="n">
        <v>44336.59096064815</v>
      </c>
      <c r="AM75"/>
      <c r="AN75"/>
      <c r="AO75" t="n">
        <v>0.0</v>
      </c>
      <c r="AP75" t="n">
        <v>0.0</v>
      </c>
      <c r="AQ75"/>
      <c r="AR75" t="n">
        <v>0.01</v>
      </c>
      <c r="AS75" t="n">
        <v>0.01</v>
      </c>
      <c r="AT75" s="5" t="inlineStr">
        <is>
          <t>AUD</t>
        </is>
      </c>
      <c r="AU75" t="inlineStr">
        <is>
          <t>Company Owned</t>
        </is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t="n">
        <v>0.0</v>
      </c>
      <c r="BK75"/>
      <c r="BL75"/>
      <c r="BM75"/>
      <c r="BN75"/>
      <c r="BO75"/>
      <c r="BP75"/>
      <c r="BQ75"/>
      <c r="BR75"/>
      <c r="BS75"/>
      <c r="BT75"/>
      <c r="BU75" t="inlineStr">
        <is>
          <t>Yes</t>
        </is>
      </c>
      <c r="BV75"/>
      <c r="BW75"/>
      <c r="BX75"/>
    </row>
    <row r="76">
      <c r="A76" s="5" t="inlineStr">
        <is>
          <t>SERV</t>
        </is>
      </c>
      <c r="B76" s="5" t="inlineStr">
        <is>
          <t>138896</t>
        </is>
      </c>
      <c r="C76" s="5" t="inlineStr">
        <is>
          <t>Filter Water Cartridge Softener Tangent</t>
        </is>
      </c>
      <c r="D76" s="5" t="inlineStr">
        <is>
          <t>*</t>
        </is>
      </c>
      <c r="E76" s="5" t="inlineStr">
        <is>
          <t>602-026</t>
        </is>
      </c>
      <c r="F76" s="5" t="inlineStr">
        <is>
          <t>*</t>
        </is>
      </c>
      <c r="G76" s="5" t="inlineStr">
        <is>
          <t>*</t>
        </is>
      </c>
      <c r="H76"/>
      <c r="I76"/>
      <c r="J76" s="5" t="inlineStr">
        <is>
          <t>0</t>
        </is>
      </c>
      <c r="K76" s="5" t="inlineStr">
        <is>
          <t>*</t>
        </is>
      </c>
      <c r="L76" t="n">
        <v>0.0</v>
      </c>
      <c r="M76" s="5" t="inlineStr">
        <is>
          <t>602</t>
        </is>
      </c>
      <c r="N76" s="5" t="inlineStr">
        <is>
          <t xml:space="preserve">  -</t>
        </is>
      </c>
      <c r="O76" s="5" t="inlineStr">
        <is>
          <t xml:space="preserve">  -</t>
        </is>
      </c>
      <c r="P76" s="5" t="inlineStr">
        <is>
          <t xml:space="preserve">  -</t>
        </is>
      </c>
      <c r="Q76" s="5" t="inlineStr">
        <is>
          <t>026</t>
        </is>
      </c>
      <c r="R76"/>
      <c r="S76" t="n">
        <v>3.0</v>
      </c>
      <c r="T76"/>
      <c r="U76" t="n">
        <v>3.0</v>
      </c>
      <c r="V76"/>
      <c r="W76" t="n">
        <v>0.0</v>
      </c>
      <c r="X76" t="n">
        <v>0.0</v>
      </c>
      <c r="Y76" t="n">
        <v>0.0</v>
      </c>
      <c r="Z76"/>
      <c r="AA76" t="n">
        <v>0.0</v>
      </c>
      <c r="AB76"/>
      <c r="AC76" t="n">
        <v>3.0</v>
      </c>
      <c r="AD76" s="5" t="inlineStr">
        <is>
          <t>pcs</t>
        </is>
      </c>
      <c r="AE76"/>
      <c r="AF76" s="5" t="inlineStr">
        <is>
          <t>pcs</t>
        </is>
      </c>
      <c r="AG76"/>
      <c r="AH76" t="inlineStr">
        <is>
          <t>No</t>
        </is>
      </c>
      <c r="AI76" s="2" t="n">
        <v>45841.40877314815</v>
      </c>
      <c r="AJ76" s="1" t="n">
        <f>DATE(2025,7,3)</f>
        <v>0.0</v>
      </c>
      <c r="AK76" t="inlineStr">
        <is>
          <t>Picking</t>
        </is>
      </c>
      <c r="AL76" s="2" t="n">
        <v>42325.37725694444</v>
      </c>
      <c r="AM76"/>
      <c r="AN76"/>
      <c r="AO76" t="n">
        <v>0.0</v>
      </c>
      <c r="AP76" t="n">
        <v>2.0</v>
      </c>
      <c r="AQ76"/>
      <c r="AR76" t="n">
        <v>34.874645161290324</v>
      </c>
      <c r="AS76" t="n">
        <v>104.62393548387097</v>
      </c>
      <c r="AT76" s="5" t="inlineStr">
        <is>
          <t>AUD</t>
        </is>
      </c>
      <c r="AU76" t="inlineStr">
        <is>
          <t>Company Owned</t>
        </is>
      </c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t="n">
        <v>0.0</v>
      </c>
      <c r="BK76"/>
      <c r="BL76"/>
      <c r="BM76"/>
      <c r="BN76"/>
      <c r="BO76"/>
      <c r="BP76"/>
      <c r="BQ76"/>
      <c r="BR76"/>
      <c r="BS76"/>
      <c r="BT76"/>
      <c r="BU76" t="inlineStr">
        <is>
          <t>Yes</t>
        </is>
      </c>
      <c r="BV76"/>
      <c r="BW76"/>
      <c r="BX76"/>
    </row>
    <row r="77">
      <c r="A77" s="5" t="inlineStr">
        <is>
          <t>SERV</t>
        </is>
      </c>
      <c r="B77" s="5" t="inlineStr">
        <is>
          <t>138896</t>
        </is>
      </c>
      <c r="C77" s="5" t="inlineStr">
        <is>
          <t>Filter Water Cartridge Softener Tangent</t>
        </is>
      </c>
      <c r="D77" s="5" t="inlineStr">
        <is>
          <t>*</t>
        </is>
      </c>
      <c r="E77" s="5" t="inlineStr">
        <is>
          <t>602-060</t>
        </is>
      </c>
      <c r="F77" s="5" t="inlineStr">
        <is>
          <t>*</t>
        </is>
      </c>
      <c r="G77" s="5" t="inlineStr">
        <is>
          <t>*</t>
        </is>
      </c>
      <c r="H77"/>
      <c r="I77"/>
      <c r="J77" s="5" t="inlineStr">
        <is>
          <t>0</t>
        </is>
      </c>
      <c r="K77" s="5" t="inlineStr">
        <is>
          <t>*</t>
        </is>
      </c>
      <c r="L77" t="n">
        <v>0.0</v>
      </c>
      <c r="M77" s="5" t="inlineStr">
        <is>
          <t>602</t>
        </is>
      </c>
      <c r="N77" s="5" t="inlineStr">
        <is>
          <t xml:space="preserve">  -</t>
        </is>
      </c>
      <c r="O77" s="5" t="inlineStr">
        <is>
          <t xml:space="preserve">  -</t>
        </is>
      </c>
      <c r="P77" s="5" t="inlineStr">
        <is>
          <t xml:space="preserve">  -</t>
        </is>
      </c>
      <c r="Q77" s="5" t="inlineStr">
        <is>
          <t>060</t>
        </is>
      </c>
      <c r="R77"/>
      <c r="S77" t="n">
        <v>1.0</v>
      </c>
      <c r="T77"/>
      <c r="U77" t="n">
        <v>1.0</v>
      </c>
      <c r="V77"/>
      <c r="W77" t="n">
        <v>0.0</v>
      </c>
      <c r="X77" t="n">
        <v>0.0</v>
      </c>
      <c r="Y77" t="n">
        <v>0.0</v>
      </c>
      <c r="Z77"/>
      <c r="AA77" t="n">
        <v>0.0</v>
      </c>
      <c r="AB77"/>
      <c r="AC77" t="n">
        <v>1.0</v>
      </c>
      <c r="AD77" s="5" t="inlineStr">
        <is>
          <t>pcs</t>
        </is>
      </c>
      <c r="AE77"/>
      <c r="AF77" s="5" t="inlineStr">
        <is>
          <t>pcs</t>
        </is>
      </c>
      <c r="AG77"/>
      <c r="AH77" t="inlineStr">
        <is>
          <t>No</t>
        </is>
      </c>
      <c r="AI77" s="2" t="n">
        <v>45841.40898148148</v>
      </c>
      <c r="AJ77" s="1" t="n">
        <f>DATE(2024,8,15)</f>
        <v>0.0</v>
      </c>
      <c r="AK77" t="inlineStr">
        <is>
          <t>Picking</t>
        </is>
      </c>
      <c r="AL77" s="2" t="n">
        <v>44385.54524305555</v>
      </c>
      <c r="AM77"/>
      <c r="AN77"/>
      <c r="AO77" t="n">
        <v>0.0</v>
      </c>
      <c r="AP77" t="n">
        <v>0.0</v>
      </c>
      <c r="AQ77"/>
      <c r="AR77" t="n">
        <v>34.874645161290324</v>
      </c>
      <c r="AS77" t="n">
        <v>34.874645161290324</v>
      </c>
      <c r="AT77" s="5" t="inlineStr">
        <is>
          <t>AUD</t>
        </is>
      </c>
      <c r="AU77" t="inlineStr">
        <is>
          <t>Company Owned</t>
        </is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t="n">
        <v>0.0</v>
      </c>
      <c r="BK77"/>
      <c r="BL77"/>
      <c r="BM77"/>
      <c r="BN77"/>
      <c r="BO77"/>
      <c r="BP77"/>
      <c r="BQ77"/>
      <c r="BR77"/>
      <c r="BS77"/>
      <c r="BT77"/>
      <c r="BU77" t="inlineStr">
        <is>
          <t>Yes</t>
        </is>
      </c>
      <c r="BV77"/>
      <c r="BW77"/>
      <c r="BX77"/>
    </row>
    <row r="78">
      <c r="A78" s="5" t="inlineStr">
        <is>
          <t>SERV</t>
        </is>
      </c>
      <c r="B78" s="5" t="inlineStr">
        <is>
          <t>139378</t>
        </is>
      </c>
      <c r="C78" s="5" t="inlineStr">
        <is>
          <t>Tee Brass Branch 16mm Hose X 1/2 BSP</t>
        </is>
      </c>
      <c r="D78" s="5" t="inlineStr">
        <is>
          <t>*</t>
        </is>
      </c>
      <c r="E78" s="5" t="inlineStr">
        <is>
          <t>602-060</t>
        </is>
      </c>
      <c r="F78" s="5" t="inlineStr">
        <is>
          <t>*</t>
        </is>
      </c>
      <c r="G78" s="5" t="inlineStr">
        <is>
          <t>*</t>
        </is>
      </c>
      <c r="H78"/>
      <c r="I78"/>
      <c r="J78" s="5" t="inlineStr">
        <is>
          <t>1</t>
        </is>
      </c>
      <c r="K78" s="5" t="inlineStr">
        <is>
          <t>*</t>
        </is>
      </c>
      <c r="L78" t="n">
        <v>0.0</v>
      </c>
      <c r="M78" s="5" t="inlineStr">
        <is>
          <t>602</t>
        </is>
      </c>
      <c r="N78" s="5" t="inlineStr">
        <is>
          <t xml:space="preserve">  -</t>
        </is>
      </c>
      <c r="O78" s="5" t="inlineStr">
        <is>
          <t xml:space="preserve">  -</t>
        </is>
      </c>
      <c r="P78" s="5" t="inlineStr">
        <is>
          <t xml:space="preserve">  -</t>
        </is>
      </c>
      <c r="Q78" s="5" t="inlineStr">
        <is>
          <t>060</t>
        </is>
      </c>
      <c r="R78"/>
      <c r="S78" t="n">
        <v>2.0</v>
      </c>
      <c r="T78"/>
      <c r="U78" t="n">
        <v>2.0</v>
      </c>
      <c r="V78"/>
      <c r="W78" t="n">
        <v>0.0</v>
      </c>
      <c r="X78" t="n">
        <v>0.0</v>
      </c>
      <c r="Y78" t="n">
        <v>0.0</v>
      </c>
      <c r="Z78"/>
      <c r="AA78" t="n">
        <v>0.0</v>
      </c>
      <c r="AB78"/>
      <c r="AC78" t="n">
        <v>2.0</v>
      </c>
      <c r="AD78" s="5" t="inlineStr">
        <is>
          <t>pcs</t>
        </is>
      </c>
      <c r="AE78"/>
      <c r="AF78" s="5" t="inlineStr">
        <is>
          <t>pcs</t>
        </is>
      </c>
      <c r="AG78"/>
      <c r="AH78" t="inlineStr">
        <is>
          <t>No</t>
        </is>
      </c>
      <c r="AI78" s="2" t="n">
        <v>45841.408784722225</v>
      </c>
      <c r="AJ78" s="1" t="n">
        <f>DATE(2025,7,3)</f>
        <v>0.0</v>
      </c>
      <c r="AK78" t="inlineStr">
        <is>
          <t>Picking</t>
        </is>
      </c>
      <c r="AL78" s="2" t="n">
        <v>43138.40329861111</v>
      </c>
      <c r="AM78"/>
      <c r="AN78"/>
      <c r="AO78" t="n">
        <v>0.0</v>
      </c>
      <c r="AP78" t="n">
        <v>0.0</v>
      </c>
      <c r="AQ78"/>
      <c r="AR78" t="n">
        <v>12.73015873015873</v>
      </c>
      <c r="AS78" t="n">
        <v>25.46031746031746</v>
      </c>
      <c r="AT78" s="5" t="inlineStr">
        <is>
          <t>AUD</t>
        </is>
      </c>
      <c r="AU78" t="inlineStr">
        <is>
          <t>Company Owned</t>
        </is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t="n">
        <v>0.0</v>
      </c>
      <c r="BK78"/>
      <c r="BL78"/>
      <c r="BM78"/>
      <c r="BN78"/>
      <c r="BO78"/>
      <c r="BP78"/>
      <c r="BQ78"/>
      <c r="BR78"/>
      <c r="BS78"/>
      <c r="BT78"/>
      <c r="BU78" t="inlineStr">
        <is>
          <t>Yes</t>
        </is>
      </c>
      <c r="BV78"/>
      <c r="BW78"/>
      <c r="BX78"/>
    </row>
    <row r="79">
      <c r="A79" s="5" t="inlineStr">
        <is>
          <t>SERV</t>
        </is>
      </c>
      <c r="B79" s="5" t="inlineStr">
        <is>
          <t>139394</t>
        </is>
      </c>
      <c r="C79" s="5" t="inlineStr">
        <is>
          <t>PCB Drying Cabinet Triac</t>
        </is>
      </c>
      <c r="D79" s="5" t="inlineStr">
        <is>
          <t>*</t>
        </is>
      </c>
      <c r="E79" s="5" t="inlineStr">
        <is>
          <t>602-060</t>
        </is>
      </c>
      <c r="F79" s="5" t="inlineStr">
        <is>
          <t>*</t>
        </is>
      </c>
      <c r="G79" s="5" t="inlineStr">
        <is>
          <t>*</t>
        </is>
      </c>
      <c r="H79"/>
      <c r="I79"/>
      <c r="J79" s="5" t="inlineStr">
        <is>
          <t>1</t>
        </is>
      </c>
      <c r="K79" s="5" t="inlineStr">
        <is>
          <t>*</t>
        </is>
      </c>
      <c r="L79" t="n">
        <v>0.0</v>
      </c>
      <c r="M79" s="5" t="inlineStr">
        <is>
          <t>602</t>
        </is>
      </c>
      <c r="N79" s="5" t="inlineStr">
        <is>
          <t xml:space="preserve">  -</t>
        </is>
      </c>
      <c r="O79" s="5" t="inlineStr">
        <is>
          <t xml:space="preserve">  -</t>
        </is>
      </c>
      <c r="P79" s="5" t="inlineStr">
        <is>
          <t xml:space="preserve">  -</t>
        </is>
      </c>
      <c r="Q79" s="5" t="inlineStr">
        <is>
          <t>060</t>
        </is>
      </c>
      <c r="R79"/>
      <c r="S79" t="n">
        <v>1.0</v>
      </c>
      <c r="T79"/>
      <c r="U79" t="n">
        <v>1.0</v>
      </c>
      <c r="V79"/>
      <c r="W79" t="n">
        <v>0.0</v>
      </c>
      <c r="X79" t="n">
        <v>0.0</v>
      </c>
      <c r="Y79" t="n">
        <v>0.0</v>
      </c>
      <c r="Z79"/>
      <c r="AA79" t="n">
        <v>0.0</v>
      </c>
      <c r="AB79"/>
      <c r="AC79" t="n">
        <v>1.0</v>
      </c>
      <c r="AD79" s="5" t="inlineStr">
        <is>
          <t>pcs</t>
        </is>
      </c>
      <c r="AE79"/>
      <c r="AF79" s="5" t="inlineStr">
        <is>
          <t>pcs</t>
        </is>
      </c>
      <c r="AG79"/>
      <c r="AH79" t="inlineStr">
        <is>
          <t>No</t>
        </is>
      </c>
      <c r="AI79" s="2" t="n">
        <v>45841.408784722225</v>
      </c>
      <c r="AJ79" s="1" t="n">
        <f>DATE(2025,7,3)</f>
        <v>0.0</v>
      </c>
      <c r="AK79" t="inlineStr">
        <is>
          <t>Picking</t>
        </is>
      </c>
      <c r="AL79" s="2" t="n">
        <v>43271.407997685186</v>
      </c>
      <c r="AM79"/>
      <c r="AN79"/>
      <c r="AO79" t="n">
        <v>0.0</v>
      </c>
      <c r="AP79" t="n">
        <v>-1.0</v>
      </c>
      <c r="AQ79"/>
      <c r="AR79" t="n">
        <v>60.13375238095238</v>
      </c>
      <c r="AS79" t="n">
        <v>60.13375238095238</v>
      </c>
      <c r="AT79" s="5" t="inlineStr">
        <is>
          <t>AUD</t>
        </is>
      </c>
      <c r="AU79" t="inlineStr">
        <is>
          <t>Company Owned</t>
        </is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t="n">
        <v>0.0</v>
      </c>
      <c r="BK79"/>
      <c r="BL79"/>
      <c r="BM79"/>
      <c r="BN79"/>
      <c r="BO79"/>
      <c r="BP79"/>
      <c r="BQ79"/>
      <c r="BR79"/>
      <c r="BS79"/>
      <c r="BT79"/>
      <c r="BU79" t="inlineStr">
        <is>
          <t>Yes</t>
        </is>
      </c>
      <c r="BV79"/>
      <c r="BW79"/>
      <c r="BX79"/>
    </row>
    <row r="80">
      <c r="A80" s="5" t="inlineStr">
        <is>
          <t>SERV</t>
        </is>
      </c>
      <c r="B80" s="5" t="inlineStr">
        <is>
          <t>139396</t>
        </is>
      </c>
      <c r="C80" s="5" t="inlineStr">
        <is>
          <t>Nut &amp; Tail Brass 6mm Hose X 1/2 BSP</t>
        </is>
      </c>
      <c r="D80" s="5" t="inlineStr">
        <is>
          <t>*</t>
        </is>
      </c>
      <c r="E80" s="5" t="inlineStr">
        <is>
          <t>602-060</t>
        </is>
      </c>
      <c r="F80" s="5" t="inlineStr">
        <is>
          <t>*</t>
        </is>
      </c>
      <c r="G80" s="5" t="inlineStr">
        <is>
          <t>*</t>
        </is>
      </c>
      <c r="H80"/>
      <c r="I80"/>
      <c r="J80" s="5" t="inlineStr">
        <is>
          <t>1</t>
        </is>
      </c>
      <c r="K80" s="5" t="inlineStr">
        <is>
          <t>*</t>
        </is>
      </c>
      <c r="L80" t="n">
        <v>0.0</v>
      </c>
      <c r="M80" s="5" t="inlineStr">
        <is>
          <t>602</t>
        </is>
      </c>
      <c r="N80" s="5" t="inlineStr">
        <is>
          <t xml:space="preserve">  -</t>
        </is>
      </c>
      <c r="O80" s="5" t="inlineStr">
        <is>
          <t xml:space="preserve">  -</t>
        </is>
      </c>
      <c r="P80" s="5" t="inlineStr">
        <is>
          <t xml:space="preserve">  -</t>
        </is>
      </c>
      <c r="Q80" s="5" t="inlineStr">
        <is>
          <t>060</t>
        </is>
      </c>
      <c r="R80"/>
      <c r="S80" t="n">
        <v>1.0</v>
      </c>
      <c r="T80"/>
      <c r="U80" t="n">
        <v>1.0</v>
      </c>
      <c r="V80"/>
      <c r="W80" t="n">
        <v>0.0</v>
      </c>
      <c r="X80" t="n">
        <v>0.0</v>
      </c>
      <c r="Y80" t="n">
        <v>0.0</v>
      </c>
      <c r="Z80"/>
      <c r="AA80" t="n">
        <v>0.0</v>
      </c>
      <c r="AB80"/>
      <c r="AC80" t="n">
        <v>1.0</v>
      </c>
      <c r="AD80" s="5" t="inlineStr">
        <is>
          <t>pcs</t>
        </is>
      </c>
      <c r="AE80"/>
      <c r="AF80" s="5" t="inlineStr">
        <is>
          <t>pcs</t>
        </is>
      </c>
      <c r="AG80"/>
      <c r="AH80" t="inlineStr">
        <is>
          <t>No</t>
        </is>
      </c>
      <c r="AI80" s="2" t="n">
        <v>45841.408784722225</v>
      </c>
      <c r="AJ80" s="1" t="n">
        <f>DATE(2025,7,3)</f>
        <v>0.0</v>
      </c>
      <c r="AK80" t="inlineStr">
        <is>
          <t>Picking</t>
        </is>
      </c>
      <c r="AL80" s="2" t="n">
        <v>44498.32121527778</v>
      </c>
      <c r="AM80"/>
      <c r="AN80"/>
      <c r="AO80" t="n">
        <v>0.0</v>
      </c>
      <c r="AP80" t="n">
        <v>0.0</v>
      </c>
      <c r="AQ80"/>
      <c r="AR80" t="n">
        <v>7.328571428571428</v>
      </c>
      <c r="AS80" t="n">
        <v>7.328571428571428</v>
      </c>
      <c r="AT80" s="5" t="inlineStr">
        <is>
          <t>AUD</t>
        </is>
      </c>
      <c r="AU80" t="inlineStr">
        <is>
          <t>Company Owned</t>
        </is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t="n">
        <v>0.0</v>
      </c>
      <c r="BK80"/>
      <c r="BL80"/>
      <c r="BM80"/>
      <c r="BN80"/>
      <c r="BO80"/>
      <c r="BP80"/>
      <c r="BQ80"/>
      <c r="BR80"/>
      <c r="BS80"/>
      <c r="BT80"/>
      <c r="BU80" t="inlineStr">
        <is>
          <t>Yes</t>
        </is>
      </c>
      <c r="BV80"/>
      <c r="BW80"/>
      <c r="BX80"/>
    </row>
    <row r="81">
      <c r="A81" s="5" t="inlineStr">
        <is>
          <t>SERV</t>
        </is>
      </c>
      <c r="B81" s="5" t="inlineStr">
        <is>
          <t>139398</t>
        </is>
      </c>
      <c r="C81" s="5" t="inlineStr">
        <is>
          <t>Gasket Spray Nozzle Duck</t>
        </is>
      </c>
      <c r="D81" s="5" t="inlineStr">
        <is>
          <t>*</t>
        </is>
      </c>
      <c r="E81" s="5" t="inlineStr">
        <is>
          <t>602-060</t>
        </is>
      </c>
      <c r="F81" s="5" t="inlineStr">
        <is>
          <t>*</t>
        </is>
      </c>
      <c r="G81" s="5" t="inlineStr">
        <is>
          <t>*</t>
        </is>
      </c>
      <c r="H81"/>
      <c r="I81"/>
      <c r="J81" s="5" t="inlineStr">
        <is>
          <t>1</t>
        </is>
      </c>
      <c r="K81" s="5" t="inlineStr">
        <is>
          <t>*</t>
        </is>
      </c>
      <c r="L81" t="n">
        <v>0.0</v>
      </c>
      <c r="M81" s="5" t="inlineStr">
        <is>
          <t>602</t>
        </is>
      </c>
      <c r="N81" s="5" t="inlineStr">
        <is>
          <t xml:space="preserve">  -</t>
        </is>
      </c>
      <c r="O81" s="5" t="inlineStr">
        <is>
          <t xml:space="preserve">  -</t>
        </is>
      </c>
      <c r="P81" s="5" t="inlineStr">
        <is>
          <t xml:space="preserve">  -</t>
        </is>
      </c>
      <c r="Q81" s="5" t="inlineStr">
        <is>
          <t>060</t>
        </is>
      </c>
      <c r="R81"/>
      <c r="S81" t="n">
        <v>1.0</v>
      </c>
      <c r="T81"/>
      <c r="U81" t="n">
        <v>1.0</v>
      </c>
      <c r="V81"/>
      <c r="W81" t="n">
        <v>0.0</v>
      </c>
      <c r="X81" t="n">
        <v>0.0</v>
      </c>
      <c r="Y81" t="n">
        <v>0.0</v>
      </c>
      <c r="Z81"/>
      <c r="AA81" t="n">
        <v>0.0</v>
      </c>
      <c r="AB81"/>
      <c r="AC81" t="n">
        <v>1.0</v>
      </c>
      <c r="AD81" s="5" t="inlineStr">
        <is>
          <t>pcs</t>
        </is>
      </c>
      <c r="AE81"/>
      <c r="AF81" s="5" t="inlineStr">
        <is>
          <t>pcs</t>
        </is>
      </c>
      <c r="AG81"/>
      <c r="AH81" t="inlineStr">
        <is>
          <t>No</t>
        </is>
      </c>
      <c r="AI81" s="2" t="n">
        <v>45841.408784722225</v>
      </c>
      <c r="AJ81" s="1" t="n">
        <f>DATE(2025,7,3)</f>
        <v>0.0</v>
      </c>
      <c r="AK81" t="inlineStr">
        <is>
          <t>Picking</t>
        </is>
      </c>
      <c r="AL81" s="2" t="n">
        <v>42422.67335648148</v>
      </c>
      <c r="AM81"/>
      <c r="AN81"/>
      <c r="AO81" t="n">
        <v>0.0</v>
      </c>
      <c r="AP81" t="n">
        <v>0.0</v>
      </c>
      <c r="AQ81"/>
      <c r="AR81" t="n">
        <v>1.1567</v>
      </c>
      <c r="AS81" t="n">
        <v>1.1567</v>
      </c>
      <c r="AT81" s="5" t="inlineStr">
        <is>
          <t>AUD</t>
        </is>
      </c>
      <c r="AU81" t="inlineStr">
        <is>
          <t>Company Owned</t>
        </is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t="n">
        <v>0.0</v>
      </c>
      <c r="BK81"/>
      <c r="BL81"/>
      <c r="BM81"/>
      <c r="BN81"/>
      <c r="BO81"/>
      <c r="BP81"/>
      <c r="BQ81"/>
      <c r="BR81"/>
      <c r="BS81"/>
      <c r="BT81"/>
      <c r="BU81" t="inlineStr">
        <is>
          <t>Yes</t>
        </is>
      </c>
      <c r="BV81"/>
      <c r="BW81"/>
      <c r="BX81"/>
    </row>
    <row r="82">
      <c r="A82" s="5" t="inlineStr">
        <is>
          <t>SERV</t>
        </is>
      </c>
      <c r="B82" s="5" t="inlineStr">
        <is>
          <t>137888</t>
        </is>
      </c>
      <c r="C82" s="5" t="inlineStr">
        <is>
          <t>Sensor Proximity Door</t>
        </is>
      </c>
      <c r="D82" s="5" t="inlineStr">
        <is>
          <t>*</t>
        </is>
      </c>
      <c r="E82" s="5" t="inlineStr">
        <is>
          <t>602-003</t>
        </is>
      </c>
      <c r="F82" s="5" t="inlineStr">
        <is>
          <t>*</t>
        </is>
      </c>
      <c r="G82" s="5" t="inlineStr">
        <is>
          <t>*</t>
        </is>
      </c>
      <c r="H82"/>
      <c r="I82"/>
      <c r="J82" s="5" t="inlineStr">
        <is>
          <t>0</t>
        </is>
      </c>
      <c r="K82" s="5" t="inlineStr">
        <is>
          <t>*</t>
        </is>
      </c>
      <c r="L82" t="n">
        <v>0.0</v>
      </c>
      <c r="M82" s="5" t="inlineStr">
        <is>
          <t>602</t>
        </is>
      </c>
      <c r="N82" s="5" t="inlineStr">
        <is>
          <t xml:space="preserve">  -</t>
        </is>
      </c>
      <c r="O82" s="5" t="inlineStr">
        <is>
          <t xml:space="preserve">  -</t>
        </is>
      </c>
      <c r="P82" s="5" t="inlineStr">
        <is>
          <t xml:space="preserve">  -</t>
        </is>
      </c>
      <c r="Q82" s="5" t="inlineStr">
        <is>
          <t>003</t>
        </is>
      </c>
      <c r="R82"/>
      <c r="S82" t="n">
        <v>1.0</v>
      </c>
      <c r="T82"/>
      <c r="U82" t="n">
        <v>1.0</v>
      </c>
      <c r="V82"/>
      <c r="W82" t="n">
        <v>0.0</v>
      </c>
      <c r="X82" t="n">
        <v>0.0</v>
      </c>
      <c r="Y82" t="n">
        <v>0.0</v>
      </c>
      <c r="Z82"/>
      <c r="AA82" t="n">
        <v>0.0</v>
      </c>
      <c r="AB82"/>
      <c r="AC82" t="n">
        <v>1.0</v>
      </c>
      <c r="AD82" s="5" t="inlineStr">
        <is>
          <t>pcs</t>
        </is>
      </c>
      <c r="AE82"/>
      <c r="AF82" s="5" t="inlineStr">
        <is>
          <t>pcs</t>
        </is>
      </c>
      <c r="AG82"/>
      <c r="AH82" t="inlineStr">
        <is>
          <t>No</t>
        </is>
      </c>
      <c r="AI82" s="2" t="n">
        <v>45841.40871527778</v>
      </c>
      <c r="AJ82" s="1" t="n">
        <f>DATE(2025,7,3)</f>
        <v>0.0</v>
      </c>
      <c r="AK82" t="inlineStr">
        <is>
          <t>Picking</t>
        </is>
      </c>
      <c r="AL82" s="2" t="n">
        <v>41183.440717592595</v>
      </c>
      <c r="AM82"/>
      <c r="AN82"/>
      <c r="AO82" t="n">
        <v>0.0</v>
      </c>
      <c r="AP82" t="n">
        <v>0.0</v>
      </c>
      <c r="AQ82"/>
      <c r="AR82" t="n">
        <v>20.860187292718074</v>
      </c>
      <c r="AS82" t="n">
        <v>20.860187292718074</v>
      </c>
      <c r="AT82" s="5" t="inlineStr">
        <is>
          <t>AUD</t>
        </is>
      </c>
      <c r="AU82" t="inlineStr">
        <is>
          <t>Company Owned</t>
        </is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t="n">
        <v>0.0</v>
      </c>
      <c r="BK82"/>
      <c r="BL82"/>
      <c r="BM82"/>
      <c r="BN82"/>
      <c r="BO82"/>
      <c r="BP82"/>
      <c r="BQ82"/>
      <c r="BR82"/>
      <c r="BS82"/>
      <c r="BT82"/>
      <c r="BU82" t="inlineStr">
        <is>
          <t>Yes</t>
        </is>
      </c>
      <c r="BV82"/>
      <c r="BW82"/>
      <c r="BX82"/>
    </row>
    <row r="83">
      <c r="A83" s="5" t="inlineStr">
        <is>
          <t>SERV</t>
        </is>
      </c>
      <c r="B83" s="5" t="inlineStr">
        <is>
          <t>138927</t>
        </is>
      </c>
      <c r="C83" s="5" t="inlineStr">
        <is>
          <t>Thermocouple Lead Chamber</t>
        </is>
      </c>
      <c r="D83" s="5" t="inlineStr">
        <is>
          <t>*</t>
        </is>
      </c>
      <c r="E83" s="5" t="inlineStr">
        <is>
          <t>602-025</t>
        </is>
      </c>
      <c r="F83" s="5" t="inlineStr">
        <is>
          <t>*</t>
        </is>
      </c>
      <c r="G83" s="5" t="inlineStr">
        <is>
          <t>*</t>
        </is>
      </c>
      <c r="H83"/>
      <c r="I83"/>
      <c r="J83" s="5" t="inlineStr">
        <is>
          <t>1</t>
        </is>
      </c>
      <c r="K83" s="5" t="inlineStr">
        <is>
          <t>*</t>
        </is>
      </c>
      <c r="L83" t="n">
        <v>0.0</v>
      </c>
      <c r="M83" s="5" t="inlineStr">
        <is>
          <t>602</t>
        </is>
      </c>
      <c r="N83" s="5" t="inlineStr">
        <is>
          <t xml:space="preserve">  -</t>
        </is>
      </c>
      <c r="O83" s="5" t="inlineStr">
        <is>
          <t xml:space="preserve">  -</t>
        </is>
      </c>
      <c r="P83" s="5" t="inlineStr">
        <is>
          <t xml:space="preserve">  -</t>
        </is>
      </c>
      <c r="Q83" s="5" t="inlineStr">
        <is>
          <t>025</t>
        </is>
      </c>
      <c r="R83"/>
      <c r="S83" t="n">
        <v>2.0</v>
      </c>
      <c r="T83"/>
      <c r="U83" t="n">
        <v>2.0</v>
      </c>
      <c r="V83"/>
      <c r="W83" t="n">
        <v>0.0</v>
      </c>
      <c r="X83" t="n">
        <v>0.0</v>
      </c>
      <c r="Y83" t="n">
        <v>0.0</v>
      </c>
      <c r="Z83"/>
      <c r="AA83" t="n">
        <v>0.0</v>
      </c>
      <c r="AB83"/>
      <c r="AC83" t="n">
        <v>2.0</v>
      </c>
      <c r="AD83" s="5" t="inlineStr">
        <is>
          <t>pcs</t>
        </is>
      </c>
      <c r="AE83"/>
      <c r="AF83" s="5" t="inlineStr">
        <is>
          <t>pcs</t>
        </is>
      </c>
      <c r="AG83"/>
      <c r="AH83" t="inlineStr">
        <is>
          <t>No</t>
        </is>
      </c>
      <c r="AI83" s="2" t="n">
        <v>45841.40877314815</v>
      </c>
      <c r="AJ83" s="1" t="n">
        <f>DATE(2025,7,3)</f>
        <v>0.0</v>
      </c>
      <c r="AK83" t="inlineStr">
        <is>
          <t>Picking</t>
        </is>
      </c>
      <c r="AL83" s="2" t="n">
        <v>42548.4302662037</v>
      </c>
      <c r="AM83"/>
      <c r="AN83"/>
      <c r="AO83" t="n">
        <v>0.0</v>
      </c>
      <c r="AP83" t="n">
        <v>0.0</v>
      </c>
      <c r="AQ83"/>
      <c r="AR83" t="n">
        <v>37.23062270452406</v>
      </c>
      <c r="AS83" t="n">
        <v>74.46124540904812</v>
      </c>
      <c r="AT83" s="5" t="inlineStr">
        <is>
          <t>AUD</t>
        </is>
      </c>
      <c r="AU83" t="inlineStr">
        <is>
          <t>Company Owned</t>
        </is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t="n">
        <v>0.0</v>
      </c>
      <c r="BK83"/>
      <c r="BL83"/>
      <c r="BM83"/>
      <c r="BN83"/>
      <c r="BO83"/>
      <c r="BP83"/>
      <c r="BQ83"/>
      <c r="BR83"/>
      <c r="BS83"/>
      <c r="BT83"/>
      <c r="BU83" t="inlineStr">
        <is>
          <t>Yes</t>
        </is>
      </c>
      <c r="BV83"/>
      <c r="BW83"/>
      <c r="BX83"/>
    </row>
    <row r="84">
      <c r="A84" s="5" t="inlineStr">
        <is>
          <t>SERV</t>
        </is>
      </c>
      <c r="B84" s="5" t="inlineStr">
        <is>
          <t>138929</t>
        </is>
      </c>
      <c r="C84" s="5" t="inlineStr">
        <is>
          <t>Bolt Hex S/S M8 X 55mm Bumax 316 10.9</t>
        </is>
      </c>
      <c r="D84" s="5" t="inlineStr">
        <is>
          <t>*</t>
        </is>
      </c>
      <c r="E84" s="5" t="inlineStr">
        <is>
          <t>602-029</t>
        </is>
      </c>
      <c r="F84" s="5" t="inlineStr">
        <is>
          <t>*</t>
        </is>
      </c>
      <c r="G84" s="5" t="inlineStr">
        <is>
          <t>*</t>
        </is>
      </c>
      <c r="H84"/>
      <c r="I84"/>
      <c r="J84" s="5" t="inlineStr">
        <is>
          <t>1</t>
        </is>
      </c>
      <c r="K84" s="5" t="inlineStr">
        <is>
          <t>*</t>
        </is>
      </c>
      <c r="L84" t="n">
        <v>0.0</v>
      </c>
      <c r="M84" s="5" t="inlineStr">
        <is>
          <t>602</t>
        </is>
      </c>
      <c r="N84" s="5" t="inlineStr">
        <is>
          <t xml:space="preserve">  -</t>
        </is>
      </c>
      <c r="O84" s="5" t="inlineStr">
        <is>
          <t xml:space="preserve">  -</t>
        </is>
      </c>
      <c r="P84" s="5" t="inlineStr">
        <is>
          <t xml:space="preserve">  -</t>
        </is>
      </c>
      <c r="Q84" s="5" t="inlineStr">
        <is>
          <t>029</t>
        </is>
      </c>
      <c r="R84"/>
      <c r="S84" t="n">
        <v>16.0</v>
      </c>
      <c r="T84"/>
      <c r="U84" t="n">
        <v>16.0</v>
      </c>
      <c r="V84"/>
      <c r="W84" t="n">
        <v>0.0</v>
      </c>
      <c r="X84" t="n">
        <v>0.0</v>
      </c>
      <c r="Y84" t="n">
        <v>0.0</v>
      </c>
      <c r="Z84"/>
      <c r="AA84" t="n">
        <v>0.0</v>
      </c>
      <c r="AB84"/>
      <c r="AC84" t="n">
        <v>16.0</v>
      </c>
      <c r="AD84" s="5" t="inlineStr">
        <is>
          <t>pcs</t>
        </is>
      </c>
      <c r="AE84"/>
      <c r="AF84" s="5" t="inlineStr">
        <is>
          <t>pcs</t>
        </is>
      </c>
      <c r="AG84"/>
      <c r="AH84" t="inlineStr">
        <is>
          <t>No</t>
        </is>
      </c>
      <c r="AI84" s="2" t="n">
        <v>45841.408784722225</v>
      </c>
      <c r="AJ84" s="1" t="n">
        <f>DATE(2025,7,3)</f>
        <v>0.0</v>
      </c>
      <c r="AK84" t="inlineStr">
        <is>
          <t>Picking</t>
        </is>
      </c>
      <c r="AL84" s="2" t="n">
        <v>42265.35575231481</v>
      </c>
      <c r="AM84"/>
      <c r="AN84"/>
      <c r="AO84" t="n">
        <v>0.0</v>
      </c>
      <c r="AP84" t="n">
        <v>0.0</v>
      </c>
      <c r="AQ84"/>
      <c r="AR84" t="n">
        <v>9.850575660456158</v>
      </c>
      <c r="AS84" t="n">
        <v>157.60921056729853</v>
      </c>
      <c r="AT84" s="5" t="inlineStr">
        <is>
          <t>AUD</t>
        </is>
      </c>
      <c r="AU84" t="inlineStr">
        <is>
          <t>Company Owned</t>
        </is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t="n">
        <v>0.0</v>
      </c>
      <c r="BK84"/>
      <c r="BL84"/>
      <c r="BM84"/>
      <c r="BN84"/>
      <c r="BO84"/>
      <c r="BP84"/>
      <c r="BQ84"/>
      <c r="BR84"/>
      <c r="BS84"/>
      <c r="BT84"/>
      <c r="BU84" t="inlineStr">
        <is>
          <t>Yes</t>
        </is>
      </c>
      <c r="BV84"/>
      <c r="BW84"/>
      <c r="BX84"/>
    </row>
    <row r="85">
      <c r="A85" s="5" t="inlineStr">
        <is>
          <t>SERV</t>
        </is>
      </c>
      <c r="B85" s="5" t="inlineStr">
        <is>
          <t>139413</t>
        </is>
      </c>
      <c r="C85" s="5" t="inlineStr">
        <is>
          <t>Gasket Element Panwasher Duck Series</t>
        </is>
      </c>
      <c r="D85" s="5" t="inlineStr">
        <is>
          <t>*</t>
        </is>
      </c>
      <c r="E85" s="5" t="inlineStr">
        <is>
          <t>602-011</t>
        </is>
      </c>
      <c r="F85" s="5" t="inlineStr">
        <is>
          <t>*</t>
        </is>
      </c>
      <c r="G85" s="5" t="inlineStr">
        <is>
          <t>*</t>
        </is>
      </c>
      <c r="H85"/>
      <c r="I85"/>
      <c r="J85" s="5" t="inlineStr">
        <is>
          <t>1</t>
        </is>
      </c>
      <c r="K85" s="5" t="inlineStr">
        <is>
          <t>*</t>
        </is>
      </c>
      <c r="L85" t="n">
        <v>0.0</v>
      </c>
      <c r="M85" s="5" t="inlineStr">
        <is>
          <t>602</t>
        </is>
      </c>
      <c r="N85" s="5" t="inlineStr">
        <is>
          <t xml:space="preserve">  -</t>
        </is>
      </c>
      <c r="O85" s="5" t="inlineStr">
        <is>
          <t xml:space="preserve">  -</t>
        </is>
      </c>
      <c r="P85" s="5" t="inlineStr">
        <is>
          <t xml:space="preserve">  -</t>
        </is>
      </c>
      <c r="Q85" s="5" t="inlineStr">
        <is>
          <t>011</t>
        </is>
      </c>
      <c r="R85"/>
      <c r="S85" t="n">
        <v>0.0</v>
      </c>
      <c r="T85"/>
      <c r="U85" t="n">
        <v>0.0</v>
      </c>
      <c r="V85"/>
      <c r="W85" t="n">
        <v>0.0</v>
      </c>
      <c r="X85" t="n">
        <v>0.0</v>
      </c>
      <c r="Y85" t="n">
        <v>0.0</v>
      </c>
      <c r="Z85"/>
      <c r="AA85" t="n">
        <v>0.0</v>
      </c>
      <c r="AB85"/>
      <c r="AC85" t="n">
        <v>0.0</v>
      </c>
      <c r="AD85" s="5" t="inlineStr">
        <is>
          <t>pcs</t>
        </is>
      </c>
      <c r="AE85"/>
      <c r="AF85" s="5" t="inlineStr">
        <is>
          <t>pcs</t>
        </is>
      </c>
      <c r="AG85"/>
      <c r="AH85" t="inlineStr">
        <is>
          <t>No</t>
        </is>
      </c>
      <c r="AI85" s="2" t="n">
        <v>46050.71021990741</v>
      </c>
      <c r="AJ85" s="1" t="n">
        <f>DATE(2025,7,3)</f>
        <v>0.0</v>
      </c>
      <c r="AK85" t="inlineStr">
        <is>
          <t>Picking</t>
        </is>
      </c>
      <c r="AL85" s="2" t="n">
        <v>45744.64637731481</v>
      </c>
      <c r="AM85"/>
      <c r="AN85"/>
      <c r="AO85" t="n">
        <v>0.0</v>
      </c>
      <c r="AP85" t="n">
        <v>0.0</v>
      </c>
      <c r="AQ85"/>
      <c r="AR85" t="n">
        <v>0.0</v>
      </c>
      <c r="AS85" t="n">
        <v>0.0</v>
      </c>
      <c r="AT85" s="5" t="inlineStr">
        <is>
          <t>AUD</t>
        </is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t="n">
        <v>0.0</v>
      </c>
      <c r="BK85"/>
      <c r="BL85"/>
      <c r="BM85"/>
      <c r="BN85"/>
      <c r="BO85"/>
      <c r="BP85"/>
      <c r="BQ85"/>
      <c r="BR85"/>
      <c r="BS85"/>
      <c r="BT85"/>
      <c r="BU85" t="inlineStr">
        <is>
          <t>Yes</t>
        </is>
      </c>
      <c r="BV85"/>
      <c r="BW85"/>
      <c r="BX85"/>
    </row>
    <row r="86">
      <c r="A86" s="5" t="inlineStr">
        <is>
          <t>SERV</t>
        </is>
      </c>
      <c r="B86" s="5" t="inlineStr">
        <is>
          <t>138960</t>
        </is>
      </c>
      <c r="C86" s="5" t="inlineStr">
        <is>
          <t>Fuse 8 Amp Door Driver Tangent/Cyber</t>
        </is>
      </c>
      <c r="D86" s="5" t="inlineStr">
        <is>
          <t>*</t>
        </is>
      </c>
      <c r="E86" s="5" t="inlineStr">
        <is>
          <t>602-001</t>
        </is>
      </c>
      <c r="F86" s="5" t="inlineStr">
        <is>
          <t>*</t>
        </is>
      </c>
      <c r="G86" s="5" t="inlineStr">
        <is>
          <t>*</t>
        </is>
      </c>
      <c r="H86"/>
      <c r="I86"/>
      <c r="J86" s="5" t="inlineStr">
        <is>
          <t>1</t>
        </is>
      </c>
      <c r="K86" s="5" t="inlineStr">
        <is>
          <t>*</t>
        </is>
      </c>
      <c r="L86" t="n">
        <v>0.0</v>
      </c>
      <c r="M86" s="5" t="inlineStr">
        <is>
          <t>602</t>
        </is>
      </c>
      <c r="N86" s="5" t="inlineStr">
        <is>
          <t xml:space="preserve">  -</t>
        </is>
      </c>
      <c r="O86" s="5" t="inlineStr">
        <is>
          <t xml:space="preserve">  -</t>
        </is>
      </c>
      <c r="P86" s="5" t="inlineStr">
        <is>
          <t xml:space="preserve">  -</t>
        </is>
      </c>
      <c r="Q86" s="5" t="inlineStr">
        <is>
          <t>001</t>
        </is>
      </c>
      <c r="R86"/>
      <c r="S86" t="n">
        <v>4.0</v>
      </c>
      <c r="T86"/>
      <c r="U86" t="n">
        <v>4.0</v>
      </c>
      <c r="V86"/>
      <c r="W86" t="n">
        <v>0.0</v>
      </c>
      <c r="X86" t="n">
        <v>0.0</v>
      </c>
      <c r="Y86" t="n">
        <v>0.0</v>
      </c>
      <c r="Z86"/>
      <c r="AA86" t="n">
        <v>0.0</v>
      </c>
      <c r="AB86"/>
      <c r="AC86" t="n">
        <v>4.0</v>
      </c>
      <c r="AD86" s="5" t="inlineStr">
        <is>
          <t>pcs</t>
        </is>
      </c>
      <c r="AE86"/>
      <c r="AF86" s="5" t="inlineStr">
        <is>
          <t>pcs</t>
        </is>
      </c>
      <c r="AG86"/>
      <c r="AH86" t="inlineStr">
        <is>
          <t>No</t>
        </is>
      </c>
      <c r="AI86" s="2" t="n">
        <v>45841.4087037037</v>
      </c>
      <c r="AJ86" s="1" t="n">
        <f>DATE(2025,7,3)</f>
        <v>0.0</v>
      </c>
      <c r="AK86" t="inlineStr">
        <is>
          <t>Picking</t>
        </is>
      </c>
      <c r="AL86" s="2" t="n">
        <v>41183.44194444444</v>
      </c>
      <c r="AM86"/>
      <c r="AN86"/>
      <c r="AO86" t="n">
        <v>0.0</v>
      </c>
      <c r="AP86" t="n">
        <v>0.0</v>
      </c>
      <c r="AQ86"/>
      <c r="AR86" t="n">
        <v>1.9163383959862716</v>
      </c>
      <c r="AS86" t="n">
        <v>7.665353583945087</v>
      </c>
      <c r="AT86" s="5" t="inlineStr">
        <is>
          <t>AUD</t>
        </is>
      </c>
      <c r="AU86" t="inlineStr">
        <is>
          <t>Company Owned</t>
        </is>
      </c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t="n">
        <v>0.0</v>
      </c>
      <c r="BK86"/>
      <c r="BL86"/>
      <c r="BM86"/>
      <c r="BN86"/>
      <c r="BO86"/>
      <c r="BP86"/>
      <c r="BQ86"/>
      <c r="BR86"/>
      <c r="BS86"/>
      <c r="BT86"/>
      <c r="BU86" t="inlineStr">
        <is>
          <t>Yes</t>
        </is>
      </c>
      <c r="BV86"/>
      <c r="BW86"/>
      <c r="BX86"/>
    </row>
    <row r="87">
      <c r="A87" s="5" t="inlineStr">
        <is>
          <t>SERV</t>
        </is>
      </c>
      <c r="B87" s="5" t="inlineStr">
        <is>
          <t>139455</t>
        </is>
      </c>
      <c r="C87" s="5" t="inlineStr">
        <is>
          <t>Cable M12x4 A-Coded Sockets One End 2m</t>
        </is>
      </c>
      <c r="D87" s="5" t="inlineStr">
        <is>
          <t>*</t>
        </is>
      </c>
      <c r="E87" s="5" t="inlineStr">
        <is>
          <t>602-003</t>
        </is>
      </c>
      <c r="F87" s="5" t="inlineStr">
        <is>
          <t>*</t>
        </is>
      </c>
      <c r="G87" s="5" t="inlineStr">
        <is>
          <t>*</t>
        </is>
      </c>
      <c r="H87"/>
      <c r="I87"/>
      <c r="J87" s="5" t="inlineStr">
        <is>
          <t>0</t>
        </is>
      </c>
      <c r="K87" s="5" t="inlineStr">
        <is>
          <t>*</t>
        </is>
      </c>
      <c r="L87" t="n">
        <v>0.0</v>
      </c>
      <c r="M87" s="5" t="inlineStr">
        <is>
          <t>602</t>
        </is>
      </c>
      <c r="N87" s="5" t="inlineStr">
        <is>
          <t xml:space="preserve">  -</t>
        </is>
      </c>
      <c r="O87" s="5" t="inlineStr">
        <is>
          <t xml:space="preserve">  -</t>
        </is>
      </c>
      <c r="P87" s="5" t="inlineStr">
        <is>
          <t xml:space="preserve">  -</t>
        </is>
      </c>
      <c r="Q87" s="5" t="inlineStr">
        <is>
          <t>003</t>
        </is>
      </c>
      <c r="R87"/>
      <c r="S87" t="n">
        <v>4.0</v>
      </c>
      <c r="T87"/>
      <c r="U87" t="n">
        <v>4.0</v>
      </c>
      <c r="V87"/>
      <c r="W87" t="n">
        <v>0.0</v>
      </c>
      <c r="X87" t="n">
        <v>0.0</v>
      </c>
      <c r="Y87" t="n">
        <v>0.0</v>
      </c>
      <c r="Z87"/>
      <c r="AA87" t="n">
        <v>0.0</v>
      </c>
      <c r="AB87"/>
      <c r="AC87" t="n">
        <v>4.0</v>
      </c>
      <c r="AD87" s="5" t="inlineStr">
        <is>
          <t>pcs</t>
        </is>
      </c>
      <c r="AE87"/>
      <c r="AF87" s="5" t="inlineStr">
        <is>
          <t>pcs</t>
        </is>
      </c>
      <c r="AG87"/>
      <c r="AH87" t="inlineStr">
        <is>
          <t>No</t>
        </is>
      </c>
      <c r="AI87" s="2" t="n">
        <v>45841.40871527778</v>
      </c>
      <c r="AJ87" s="1" t="n">
        <f>DATE(2025,7,3)</f>
        <v>0.0</v>
      </c>
      <c r="AK87" t="inlineStr">
        <is>
          <t>Picking</t>
        </is>
      </c>
      <c r="AL87" s="2" t="n">
        <v>41183.44273148148</v>
      </c>
      <c r="AM87"/>
      <c r="AN87"/>
      <c r="AO87" t="n">
        <v>0.0</v>
      </c>
      <c r="AP87" t="n">
        <v>0.0</v>
      </c>
      <c r="AQ87"/>
      <c r="AR87" t="n">
        <v>8.849748222226946</v>
      </c>
      <c r="AS87" t="n">
        <v>35.398992888907785</v>
      </c>
      <c r="AT87" s="5" t="inlineStr">
        <is>
          <t>AUD</t>
        </is>
      </c>
      <c r="AU87" t="inlineStr">
        <is>
          <t>Company Owned</t>
        </is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t="n">
        <v>0.0</v>
      </c>
      <c r="BK87"/>
      <c r="BL87"/>
      <c r="BM87"/>
      <c r="BN87"/>
      <c r="BO87"/>
      <c r="BP87"/>
      <c r="BQ87"/>
      <c r="BR87"/>
      <c r="BS87"/>
      <c r="BT87"/>
      <c r="BU87" t="inlineStr">
        <is>
          <t>Yes</t>
        </is>
      </c>
      <c r="BV87"/>
      <c r="BW87"/>
      <c r="BX87"/>
    </row>
    <row r="88">
      <c r="A88" s="5" t="inlineStr">
        <is>
          <t>SERV</t>
        </is>
      </c>
      <c r="B88" s="5" t="inlineStr">
        <is>
          <t>138001</t>
        </is>
      </c>
      <c r="C88" s="5" t="inlineStr">
        <is>
          <t>Valve Pressure Control Brass 1/2"</t>
        </is>
      </c>
      <c r="D88" s="5" t="inlineStr">
        <is>
          <t>*</t>
        </is>
      </c>
      <c r="E88" s="5" t="inlineStr">
        <is>
          <t>602-030</t>
        </is>
      </c>
      <c r="F88" s="5" t="inlineStr">
        <is>
          <t>*</t>
        </is>
      </c>
      <c r="G88" s="5" t="inlineStr">
        <is>
          <t>*</t>
        </is>
      </c>
      <c r="H88"/>
      <c r="I88"/>
      <c r="J88" s="5" t="inlineStr">
        <is>
          <t>0</t>
        </is>
      </c>
      <c r="K88" s="5" t="inlineStr">
        <is>
          <t>*</t>
        </is>
      </c>
      <c r="L88" t="n">
        <v>0.0</v>
      </c>
      <c r="M88" s="5" t="inlineStr">
        <is>
          <t>602</t>
        </is>
      </c>
      <c r="N88" s="5" t="inlineStr">
        <is>
          <t xml:space="preserve">  -</t>
        </is>
      </c>
      <c r="O88" s="5" t="inlineStr">
        <is>
          <t xml:space="preserve">  -</t>
        </is>
      </c>
      <c r="P88" s="5" t="inlineStr">
        <is>
          <t xml:space="preserve">  -</t>
        </is>
      </c>
      <c r="Q88" s="5" t="inlineStr">
        <is>
          <t>030</t>
        </is>
      </c>
      <c r="R88"/>
      <c r="S88" t="n">
        <v>1.0</v>
      </c>
      <c r="T88"/>
      <c r="U88" t="n">
        <v>1.0</v>
      </c>
      <c r="V88"/>
      <c r="W88" t="n">
        <v>0.0</v>
      </c>
      <c r="X88" t="n">
        <v>0.0</v>
      </c>
      <c r="Y88" t="n">
        <v>0.0</v>
      </c>
      <c r="Z88"/>
      <c r="AA88" t="n">
        <v>0.0</v>
      </c>
      <c r="AB88"/>
      <c r="AC88" t="n">
        <v>1.0</v>
      </c>
      <c r="AD88" s="5" t="inlineStr">
        <is>
          <t>pcs</t>
        </is>
      </c>
      <c r="AE88"/>
      <c r="AF88" s="5" t="inlineStr">
        <is>
          <t>pcs</t>
        </is>
      </c>
      <c r="AG88"/>
      <c r="AH88" t="inlineStr">
        <is>
          <t>No</t>
        </is>
      </c>
      <c r="AI88" s="2" t="n">
        <v>45841.408784722225</v>
      </c>
      <c r="AJ88" s="1" t="n">
        <f>DATE(2025,7,3)</f>
        <v>0.0</v>
      </c>
      <c r="AK88" t="inlineStr">
        <is>
          <t>Picking</t>
        </is>
      </c>
      <c r="AL88" s="2" t="n">
        <v>45258.34222222222</v>
      </c>
      <c r="AM88"/>
      <c r="AN88"/>
      <c r="AO88" t="n">
        <v>0.0</v>
      </c>
      <c r="AP88" t="n">
        <v>0.0</v>
      </c>
      <c r="AQ88"/>
      <c r="AR88" t="n">
        <v>670.6529850578587</v>
      </c>
      <c r="AS88" t="n">
        <v>670.6529850578587</v>
      </c>
      <c r="AT88" s="5" t="inlineStr">
        <is>
          <t>AUD</t>
        </is>
      </c>
      <c r="AU88" t="inlineStr">
        <is>
          <t>Company Owned</t>
        </is>
      </c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t="n">
        <v>0.0</v>
      </c>
      <c r="BK88"/>
      <c r="BL88"/>
      <c r="BM88"/>
      <c r="BN88"/>
      <c r="BO88"/>
      <c r="BP88"/>
      <c r="BQ88"/>
      <c r="BR88"/>
      <c r="BS88"/>
      <c r="BT88"/>
      <c r="BU88" t="inlineStr">
        <is>
          <t>Yes</t>
        </is>
      </c>
      <c r="BV88"/>
      <c r="BW88"/>
      <c r="BX88"/>
    </row>
    <row r="89">
      <c r="A89" s="5" t="inlineStr">
        <is>
          <t>SERV</t>
        </is>
      </c>
      <c r="B89" s="5" t="inlineStr">
        <is>
          <t>139469</t>
        </is>
      </c>
      <c r="C89" s="5" t="inlineStr">
        <is>
          <t>Valve Motorized 1" BSP S/S Ball 3-Way</t>
        </is>
      </c>
      <c r="D89" s="5" t="inlineStr">
        <is>
          <t>*</t>
        </is>
      </c>
      <c r="E89" s="5" t="inlineStr">
        <is>
          <t>602-060</t>
        </is>
      </c>
      <c r="F89" s="5" t="inlineStr">
        <is>
          <t>*</t>
        </is>
      </c>
      <c r="G89" s="5" t="inlineStr">
        <is>
          <t>*</t>
        </is>
      </c>
      <c r="H89"/>
      <c r="I89"/>
      <c r="J89" s="5" t="inlineStr">
        <is>
          <t>1</t>
        </is>
      </c>
      <c r="K89" s="5" t="inlineStr">
        <is>
          <t>*</t>
        </is>
      </c>
      <c r="L89" t="n">
        <v>0.0</v>
      </c>
      <c r="M89" s="5" t="inlineStr">
        <is>
          <t>602</t>
        </is>
      </c>
      <c r="N89" s="5" t="inlineStr">
        <is>
          <t xml:space="preserve">  -</t>
        </is>
      </c>
      <c r="O89" s="5" t="inlineStr">
        <is>
          <t xml:space="preserve">  -</t>
        </is>
      </c>
      <c r="P89" s="5" t="inlineStr">
        <is>
          <t xml:space="preserve">  -</t>
        </is>
      </c>
      <c r="Q89" s="5" t="inlineStr">
        <is>
          <t>060</t>
        </is>
      </c>
      <c r="R89"/>
      <c r="S89" t="n">
        <v>1.0</v>
      </c>
      <c r="T89"/>
      <c r="U89" t="n">
        <v>1.0</v>
      </c>
      <c r="V89"/>
      <c r="W89" t="n">
        <v>0.0</v>
      </c>
      <c r="X89" t="n">
        <v>0.0</v>
      </c>
      <c r="Y89" t="n">
        <v>0.0</v>
      </c>
      <c r="Z89"/>
      <c r="AA89" t="n">
        <v>0.0</v>
      </c>
      <c r="AB89"/>
      <c r="AC89" t="n">
        <v>1.0</v>
      </c>
      <c r="AD89" s="5" t="inlineStr">
        <is>
          <t>pcs</t>
        </is>
      </c>
      <c r="AE89"/>
      <c r="AF89" s="5" t="inlineStr">
        <is>
          <t>pcs</t>
        </is>
      </c>
      <c r="AG89"/>
      <c r="AH89" t="inlineStr">
        <is>
          <t>No</t>
        </is>
      </c>
      <c r="AI89" s="2" t="n">
        <v>45841.40898148148</v>
      </c>
      <c r="AJ89" s="1" t="n">
        <f>DATE(2024,8,15)</f>
        <v>0.0</v>
      </c>
      <c r="AK89" t="inlineStr">
        <is>
          <t>Picking</t>
        </is>
      </c>
      <c r="AL89" s="2" t="n">
        <v>45183.38680555556</v>
      </c>
      <c r="AM89"/>
      <c r="AN89"/>
      <c r="AO89" t="n">
        <v>0.0</v>
      </c>
      <c r="AP89" t="n">
        <v>0.0</v>
      </c>
      <c r="AQ89"/>
      <c r="AR89" t="n">
        <v>1034.607</v>
      </c>
      <c r="AS89" t="n">
        <v>1034.607</v>
      </c>
      <c r="AT89" s="5" t="inlineStr">
        <is>
          <t>AUD</t>
        </is>
      </c>
      <c r="AU89" t="inlineStr">
        <is>
          <t>Company Owned</t>
        </is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t="n">
        <v>0.0</v>
      </c>
      <c r="BK89"/>
      <c r="BL89"/>
      <c r="BM89"/>
      <c r="BN89"/>
      <c r="BO89"/>
      <c r="BP89"/>
      <c r="BQ89"/>
      <c r="BR89"/>
      <c r="BS89"/>
      <c r="BT89"/>
      <c r="BU89" t="inlineStr">
        <is>
          <t>Yes</t>
        </is>
      </c>
      <c r="BV89"/>
      <c r="BW89"/>
      <c r="BX89"/>
    </row>
    <row r="90">
      <c r="A90" s="5" t="inlineStr">
        <is>
          <t>SERV</t>
        </is>
      </c>
      <c r="B90" s="5" t="inlineStr">
        <is>
          <t>139474</t>
        </is>
      </c>
      <c r="C90" s="5" t="inlineStr">
        <is>
          <t>Solenoid Trolley Rail Lock</t>
        </is>
      </c>
      <c r="D90" s="5" t="inlineStr">
        <is>
          <t>*</t>
        </is>
      </c>
      <c r="E90" s="5" t="inlineStr">
        <is>
          <t>602-006</t>
        </is>
      </c>
      <c r="F90" s="5" t="inlineStr">
        <is>
          <t>*</t>
        </is>
      </c>
      <c r="G90" s="5" t="inlineStr">
        <is>
          <t>*</t>
        </is>
      </c>
      <c r="H90"/>
      <c r="I90"/>
      <c r="J90" s="5" t="inlineStr">
        <is>
          <t>1</t>
        </is>
      </c>
      <c r="K90" s="5" t="inlineStr">
        <is>
          <t>*</t>
        </is>
      </c>
      <c r="L90" t="n">
        <v>0.0</v>
      </c>
      <c r="M90" s="5" t="inlineStr">
        <is>
          <t>602</t>
        </is>
      </c>
      <c r="N90" s="5" t="inlineStr">
        <is>
          <t xml:space="preserve">  -</t>
        </is>
      </c>
      <c r="O90" s="5" t="inlineStr">
        <is>
          <t xml:space="preserve">  -</t>
        </is>
      </c>
      <c r="P90" s="5" t="inlineStr">
        <is>
          <t xml:space="preserve">  -</t>
        </is>
      </c>
      <c r="Q90" s="5" t="inlineStr">
        <is>
          <t>006</t>
        </is>
      </c>
      <c r="R90"/>
      <c r="S90" t="n">
        <v>2.0</v>
      </c>
      <c r="T90"/>
      <c r="U90" t="n">
        <v>2.0</v>
      </c>
      <c r="V90"/>
      <c r="W90" t="n">
        <v>0.0</v>
      </c>
      <c r="X90" t="n">
        <v>0.0</v>
      </c>
      <c r="Y90" t="n">
        <v>0.0</v>
      </c>
      <c r="Z90"/>
      <c r="AA90" t="n">
        <v>0.0</v>
      </c>
      <c r="AB90"/>
      <c r="AC90" t="n">
        <v>2.0</v>
      </c>
      <c r="AD90" s="5" t="inlineStr">
        <is>
          <t>pcs</t>
        </is>
      </c>
      <c r="AE90"/>
      <c r="AF90" s="5" t="inlineStr">
        <is>
          <t>pcs</t>
        </is>
      </c>
      <c r="AG90"/>
      <c r="AH90" t="inlineStr">
        <is>
          <t>No</t>
        </is>
      </c>
      <c r="AI90" s="2" t="n">
        <v>45841.40898148148</v>
      </c>
      <c r="AJ90" s="1" t="n">
        <f>DATE(2024,8,15)</f>
        <v>0.0</v>
      </c>
      <c r="AK90" t="inlineStr">
        <is>
          <t>Picking</t>
        </is>
      </c>
      <c r="AL90" s="2" t="n">
        <v>41183.44517361111</v>
      </c>
      <c r="AM90"/>
      <c r="AN90"/>
      <c r="AO90" t="n">
        <v>0.0</v>
      </c>
      <c r="AP90" t="n">
        <v>0.0</v>
      </c>
      <c r="AQ90"/>
      <c r="AR90" t="n">
        <v>25.114335323811325</v>
      </c>
      <c r="AS90" t="n">
        <v>50.22867064762265</v>
      </c>
      <c r="AT90" s="5" t="inlineStr">
        <is>
          <t>AUD</t>
        </is>
      </c>
      <c r="AU90" t="inlineStr">
        <is>
          <t>Company Owned</t>
        </is>
      </c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t="n">
        <v>0.0</v>
      </c>
      <c r="BK90"/>
      <c r="BL90"/>
      <c r="BM90"/>
      <c r="BN90"/>
      <c r="BO90"/>
      <c r="BP90"/>
      <c r="BQ90"/>
      <c r="BR90"/>
      <c r="BS90"/>
      <c r="BT90"/>
      <c r="BU90" t="inlineStr">
        <is>
          <t>Yes</t>
        </is>
      </c>
      <c r="BV90"/>
      <c r="BW90"/>
      <c r="BX90"/>
    </row>
    <row r="91">
      <c r="A91" s="5" t="inlineStr">
        <is>
          <t>SERV</t>
        </is>
      </c>
      <c r="B91" s="5" t="inlineStr">
        <is>
          <t>139476</t>
        </is>
      </c>
      <c r="C91" s="5" t="inlineStr">
        <is>
          <t>Switch Micro Short Roller Lever Lassie</t>
        </is>
      </c>
      <c r="D91" s="5" t="inlineStr">
        <is>
          <t>*</t>
        </is>
      </c>
      <c r="E91" s="5" t="inlineStr">
        <is>
          <t>602-006</t>
        </is>
      </c>
      <c r="F91" s="5" t="inlineStr">
        <is>
          <t>*</t>
        </is>
      </c>
      <c r="G91" s="5" t="inlineStr">
        <is>
          <t>*</t>
        </is>
      </c>
      <c r="H91"/>
      <c r="I91"/>
      <c r="J91" s="5" t="inlineStr">
        <is>
          <t>1</t>
        </is>
      </c>
      <c r="K91" s="5" t="inlineStr">
        <is>
          <t>*</t>
        </is>
      </c>
      <c r="L91" t="n">
        <v>0.0</v>
      </c>
      <c r="M91" s="5" t="inlineStr">
        <is>
          <t>602</t>
        </is>
      </c>
      <c r="N91" s="5" t="inlineStr">
        <is>
          <t xml:space="preserve">  -</t>
        </is>
      </c>
      <c r="O91" s="5" t="inlineStr">
        <is>
          <t xml:space="preserve">  -</t>
        </is>
      </c>
      <c r="P91" s="5" t="inlineStr">
        <is>
          <t xml:space="preserve">  -</t>
        </is>
      </c>
      <c r="Q91" s="5" t="inlineStr">
        <is>
          <t>006</t>
        </is>
      </c>
      <c r="R91"/>
      <c r="S91" t="n">
        <v>5.0</v>
      </c>
      <c r="T91"/>
      <c r="U91" t="n">
        <v>5.0</v>
      </c>
      <c r="V91"/>
      <c r="W91" t="n">
        <v>0.0</v>
      </c>
      <c r="X91" t="n">
        <v>0.0</v>
      </c>
      <c r="Y91" t="n">
        <v>0.0</v>
      </c>
      <c r="Z91"/>
      <c r="AA91" t="n">
        <v>0.0</v>
      </c>
      <c r="AB91"/>
      <c r="AC91" t="n">
        <v>5.0</v>
      </c>
      <c r="AD91" s="5" t="inlineStr">
        <is>
          <t>pcs</t>
        </is>
      </c>
      <c r="AE91"/>
      <c r="AF91" s="5" t="inlineStr">
        <is>
          <t>pcs</t>
        </is>
      </c>
      <c r="AG91"/>
      <c r="AH91" t="inlineStr">
        <is>
          <t>No</t>
        </is>
      </c>
      <c r="AI91" s="2" t="n">
        <v>45841.40872685185</v>
      </c>
      <c r="AJ91" s="1" t="n">
        <f>DATE(2025,7,3)</f>
        <v>0.0</v>
      </c>
      <c r="AK91" t="inlineStr">
        <is>
          <t>Picking</t>
        </is>
      </c>
      <c r="AL91" s="2" t="n">
        <v>41183.44517361111</v>
      </c>
      <c r="AM91"/>
      <c r="AN91"/>
      <c r="AO91" t="n">
        <v>0.0</v>
      </c>
      <c r="AP91" t="n">
        <v>0.0</v>
      </c>
      <c r="AQ91"/>
      <c r="AR91" t="n">
        <v>10.211726755399823</v>
      </c>
      <c r="AS91" t="n">
        <v>51.05863377699911</v>
      </c>
      <c r="AT91" s="5" t="inlineStr">
        <is>
          <t>AUD</t>
        </is>
      </c>
      <c r="AU91" t="inlineStr">
        <is>
          <t>Company Owned</t>
        </is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t="n">
        <v>0.0</v>
      </c>
      <c r="BK91"/>
      <c r="BL91"/>
      <c r="BM91"/>
      <c r="BN91"/>
      <c r="BO91"/>
      <c r="BP91"/>
      <c r="BQ91"/>
      <c r="BR91"/>
      <c r="BS91"/>
      <c r="BT91"/>
      <c r="BU91" t="inlineStr">
        <is>
          <t>Yes</t>
        </is>
      </c>
      <c r="BV91"/>
      <c r="BW91"/>
      <c r="BX91"/>
    </row>
    <row r="92">
      <c r="A92" s="5" t="inlineStr">
        <is>
          <t>SERV</t>
        </is>
      </c>
      <c r="B92" s="5" t="inlineStr">
        <is>
          <t>139030</t>
        </is>
      </c>
      <c r="C92" s="5" t="inlineStr">
        <is>
          <t>Battery PLC CQ/CJ CPM2A-BAT01</t>
        </is>
      </c>
      <c r="D92" s="5" t="inlineStr">
        <is>
          <t>*</t>
        </is>
      </c>
      <c r="E92" s="5" t="inlineStr">
        <is>
          <t>602-060</t>
        </is>
      </c>
      <c r="F92" s="5" t="inlineStr">
        <is>
          <t>*</t>
        </is>
      </c>
      <c r="G92" s="5" t="inlineStr">
        <is>
          <t>*</t>
        </is>
      </c>
      <c r="H92"/>
      <c r="I92"/>
      <c r="J92" s="5" t="inlineStr">
        <is>
          <t>1</t>
        </is>
      </c>
      <c r="K92" s="5" t="inlineStr">
        <is>
          <t>*</t>
        </is>
      </c>
      <c r="L92" t="n">
        <v>0.0</v>
      </c>
      <c r="M92" s="5" t="inlineStr">
        <is>
          <t>602</t>
        </is>
      </c>
      <c r="N92" s="5" t="inlineStr">
        <is>
          <t xml:space="preserve">  -</t>
        </is>
      </c>
      <c r="O92" s="5" t="inlineStr">
        <is>
          <t xml:space="preserve">  -</t>
        </is>
      </c>
      <c r="P92" s="5" t="inlineStr">
        <is>
          <t xml:space="preserve">  -</t>
        </is>
      </c>
      <c r="Q92" s="5" t="inlineStr">
        <is>
          <t>060</t>
        </is>
      </c>
      <c r="R92"/>
      <c r="S92" t="n">
        <v>2.0</v>
      </c>
      <c r="T92"/>
      <c r="U92" t="n">
        <v>2.0</v>
      </c>
      <c r="V92"/>
      <c r="W92" t="n">
        <v>0.0</v>
      </c>
      <c r="X92" t="n">
        <v>0.0</v>
      </c>
      <c r="Y92" t="n">
        <v>0.0</v>
      </c>
      <c r="Z92"/>
      <c r="AA92" t="n">
        <v>0.0</v>
      </c>
      <c r="AB92"/>
      <c r="AC92" t="n">
        <v>2.0</v>
      </c>
      <c r="AD92" s="5" t="inlineStr">
        <is>
          <t>pcs</t>
        </is>
      </c>
      <c r="AE92"/>
      <c r="AF92" s="5" t="inlineStr">
        <is>
          <t>pcs</t>
        </is>
      </c>
      <c r="AG92"/>
      <c r="AH92" t="inlineStr">
        <is>
          <t>No</t>
        </is>
      </c>
      <c r="AI92" s="2" t="n">
        <v>45841.408784722225</v>
      </c>
      <c r="AJ92" s="1" t="n">
        <f>DATE(2025,7,3)</f>
        <v>0.0</v>
      </c>
      <c r="AK92" t="inlineStr">
        <is>
          <t>Picking</t>
        </is>
      </c>
      <c r="AL92" s="2" t="n">
        <v>44879.37744212963</v>
      </c>
      <c r="AM92"/>
      <c r="AN92"/>
      <c r="AO92" t="n">
        <v>0.0</v>
      </c>
      <c r="AP92" t="n">
        <v>0.0</v>
      </c>
      <c r="AQ92"/>
      <c r="AR92" t="n">
        <v>103.92</v>
      </c>
      <c r="AS92" t="n">
        <v>207.84</v>
      </c>
      <c r="AT92" s="5" t="inlineStr">
        <is>
          <t>AUD</t>
        </is>
      </c>
      <c r="AU92" t="inlineStr">
        <is>
          <t>Company Owned</t>
        </is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t="n">
        <v>0.0</v>
      </c>
      <c r="BK92"/>
      <c r="BL92"/>
      <c r="BM92"/>
      <c r="BN92"/>
      <c r="BO92"/>
      <c r="BP92"/>
      <c r="BQ92"/>
      <c r="BR92"/>
      <c r="BS92"/>
      <c r="BT92"/>
      <c r="BU92" t="inlineStr">
        <is>
          <t>Yes</t>
        </is>
      </c>
      <c r="BV92"/>
      <c r="BW92"/>
      <c r="BX92"/>
    </row>
    <row r="93">
      <c r="A93" s="5" t="inlineStr">
        <is>
          <t>SERV</t>
        </is>
      </c>
      <c r="B93" s="5" t="inlineStr">
        <is>
          <t>830327</t>
        </is>
      </c>
      <c r="C93" s="5" t="inlineStr">
        <is>
          <t>Tape Teflon Premium Pink 15Mr</t>
        </is>
      </c>
      <c r="D93" s="5" t="inlineStr">
        <is>
          <t>*</t>
        </is>
      </c>
      <c r="E93" s="5" t="inlineStr">
        <is>
          <t>602-021</t>
        </is>
      </c>
      <c r="F93" s="5" t="inlineStr">
        <is>
          <t>*</t>
        </is>
      </c>
      <c r="G93" s="5" t="inlineStr">
        <is>
          <t>*</t>
        </is>
      </c>
      <c r="H93"/>
      <c r="I93"/>
      <c r="J93" s="5" t="inlineStr">
        <is>
          <t>0</t>
        </is>
      </c>
      <c r="K93" s="5" t="inlineStr">
        <is>
          <t>*</t>
        </is>
      </c>
      <c r="L93" t="n">
        <v>0.0</v>
      </c>
      <c r="M93" s="5" t="inlineStr">
        <is>
          <t>602</t>
        </is>
      </c>
      <c r="N93" s="5" t="inlineStr">
        <is>
          <t xml:space="preserve">  -</t>
        </is>
      </c>
      <c r="O93" s="5" t="inlineStr">
        <is>
          <t xml:space="preserve">  -</t>
        </is>
      </c>
      <c r="P93" s="5" t="inlineStr">
        <is>
          <t xml:space="preserve">  -</t>
        </is>
      </c>
      <c r="Q93" s="5" t="inlineStr">
        <is>
          <t>021</t>
        </is>
      </c>
      <c r="R93"/>
      <c r="S93" t="n">
        <v>5.0</v>
      </c>
      <c r="T93"/>
      <c r="U93" t="n">
        <v>5.0</v>
      </c>
      <c r="V93"/>
      <c r="W93" t="n">
        <v>0.0</v>
      </c>
      <c r="X93" t="n">
        <v>0.0</v>
      </c>
      <c r="Y93" t="n">
        <v>0.0</v>
      </c>
      <c r="Z93"/>
      <c r="AA93" t="n">
        <v>0.0</v>
      </c>
      <c r="AB93"/>
      <c r="AC93" t="n">
        <v>5.0</v>
      </c>
      <c r="AD93" s="5" t="inlineStr">
        <is>
          <t>rol</t>
        </is>
      </c>
      <c r="AE93"/>
      <c r="AF93" s="5" t="inlineStr">
        <is>
          <t>rol</t>
        </is>
      </c>
      <c r="AG93"/>
      <c r="AH93" t="inlineStr">
        <is>
          <t>No</t>
        </is>
      </c>
      <c r="AI93" s="2" t="n">
        <v>46050.461805555555</v>
      </c>
      <c r="AJ93" s="1" t="n">
        <f>DATE(2025,7,3)</f>
        <v>0.0</v>
      </c>
      <c r="AK93" t="inlineStr">
        <is>
          <t>Picking</t>
        </is>
      </c>
      <c r="AL93" s="2" t="n">
        <v>45748.40752314815</v>
      </c>
      <c r="AM93"/>
      <c r="AN93"/>
      <c r="AO93" t="n">
        <v>0.0</v>
      </c>
      <c r="AP93" t="n">
        <v>0.0</v>
      </c>
      <c r="AQ93"/>
      <c r="AR93" t="n">
        <v>3.0077972762645913</v>
      </c>
      <c r="AS93" t="n">
        <v>15.038986381322957</v>
      </c>
      <c r="AT93" s="5" t="inlineStr">
        <is>
          <t>AUD</t>
        </is>
      </c>
      <c r="AU93" t="inlineStr">
        <is>
          <t>Company Owned</t>
        </is>
      </c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t="n">
        <v>0.0</v>
      </c>
      <c r="BK93"/>
      <c r="BL93"/>
      <c r="BM93"/>
      <c r="BN93"/>
      <c r="BO93"/>
      <c r="BP93"/>
      <c r="BQ93"/>
      <c r="BR93"/>
      <c r="BS93"/>
      <c r="BT93"/>
      <c r="BU93" t="inlineStr">
        <is>
          <t>Yes</t>
        </is>
      </c>
      <c r="BV93"/>
      <c r="BW93"/>
      <c r="BX93"/>
    </row>
    <row r="94">
      <c r="A94" s="5" t="inlineStr">
        <is>
          <t>SERV</t>
        </is>
      </c>
      <c r="B94" s="5" t="inlineStr">
        <is>
          <t>138444</t>
        </is>
      </c>
      <c r="C94" s="5" t="inlineStr">
        <is>
          <t>Valve Solenoid Steam 1/2 - individually boxed</t>
        </is>
      </c>
      <c r="D94" s="5" t="inlineStr">
        <is>
          <t>*</t>
        </is>
      </c>
      <c r="E94" s="5" t="inlineStr">
        <is>
          <t>602-010</t>
        </is>
      </c>
      <c r="F94" s="5" t="inlineStr">
        <is>
          <t>*</t>
        </is>
      </c>
      <c r="G94" s="5" t="inlineStr">
        <is>
          <t>*</t>
        </is>
      </c>
      <c r="H94"/>
      <c r="I94"/>
      <c r="J94" s="5" t="inlineStr">
        <is>
          <t>0</t>
        </is>
      </c>
      <c r="K94" s="5" t="inlineStr">
        <is>
          <t>*</t>
        </is>
      </c>
      <c r="L94" t="n">
        <v>0.0</v>
      </c>
      <c r="M94" s="5" t="inlineStr">
        <is>
          <t>602</t>
        </is>
      </c>
      <c r="N94" s="5" t="inlineStr">
        <is>
          <t xml:space="preserve">  -</t>
        </is>
      </c>
      <c r="O94" s="5" t="inlineStr">
        <is>
          <t xml:space="preserve">  -</t>
        </is>
      </c>
      <c r="P94" s="5" t="inlineStr">
        <is>
          <t xml:space="preserve">  -</t>
        </is>
      </c>
      <c r="Q94" s="5" t="inlineStr">
        <is>
          <t>010</t>
        </is>
      </c>
      <c r="R94"/>
      <c r="S94" t="n">
        <v>2.0</v>
      </c>
      <c r="T94"/>
      <c r="U94" t="n">
        <v>2.0</v>
      </c>
      <c r="V94"/>
      <c r="W94" t="n">
        <v>0.0</v>
      </c>
      <c r="X94" t="n">
        <v>0.0</v>
      </c>
      <c r="Y94" t="n">
        <v>0.0</v>
      </c>
      <c r="Z94"/>
      <c r="AA94" t="n">
        <v>0.0</v>
      </c>
      <c r="AB94"/>
      <c r="AC94" t="n">
        <v>2.0</v>
      </c>
      <c r="AD94" s="5" t="inlineStr">
        <is>
          <t>pcs</t>
        </is>
      </c>
      <c r="AE94"/>
      <c r="AF94" s="5" t="inlineStr">
        <is>
          <t>pcs</t>
        </is>
      </c>
      <c r="AG94"/>
      <c r="AH94" t="inlineStr">
        <is>
          <t>No</t>
        </is>
      </c>
      <c r="AI94" s="2" t="n">
        <v>45841.408738425926</v>
      </c>
      <c r="AJ94" s="1" t="n">
        <f>DATE(2025,7,3)</f>
        <v>0.0</v>
      </c>
      <c r="AK94" t="inlineStr">
        <is>
          <t>Picking</t>
        </is>
      </c>
      <c r="AL94" s="2" t="n">
        <v>41242.56898148148</v>
      </c>
      <c r="AM94"/>
      <c r="AN94"/>
      <c r="AO94" t="n">
        <v>0.0</v>
      </c>
      <c r="AP94" t="n">
        <v>0.0</v>
      </c>
      <c r="AQ94"/>
      <c r="AR94" t="n">
        <v>225.48604875932747</v>
      </c>
      <c r="AS94" t="n">
        <v>450.97209751865495</v>
      </c>
      <c r="AT94" s="5" t="inlineStr">
        <is>
          <t>AUD</t>
        </is>
      </c>
      <c r="AU94" t="inlineStr">
        <is>
          <t>Company Owned</t>
        </is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t="n">
        <v>0.0</v>
      </c>
      <c r="BK94"/>
      <c r="BL94"/>
      <c r="BM94"/>
      <c r="BN94"/>
      <c r="BO94"/>
      <c r="BP94"/>
      <c r="BQ94"/>
      <c r="BR94"/>
      <c r="BS94"/>
      <c r="BT94"/>
      <c r="BU94" t="inlineStr">
        <is>
          <t>Yes</t>
        </is>
      </c>
      <c r="BV94"/>
      <c r="BW94"/>
      <c r="BX94"/>
    </row>
    <row r="95">
      <c r="A95" s="5" t="inlineStr">
        <is>
          <t>SERV</t>
        </is>
      </c>
      <c r="B95" s="5" t="inlineStr">
        <is>
          <t>138449</t>
        </is>
      </c>
      <c r="C95" s="5" t="inlineStr">
        <is>
          <t>Valve Solenoid 1/4 Water Tangent</t>
        </is>
      </c>
      <c r="D95" s="5" t="inlineStr">
        <is>
          <t>*</t>
        </is>
      </c>
      <c r="E95" s="5" t="inlineStr">
        <is>
          <t>602-010</t>
        </is>
      </c>
      <c r="F95" s="5" t="inlineStr">
        <is>
          <t>*</t>
        </is>
      </c>
      <c r="G95" s="5" t="inlineStr">
        <is>
          <t>*</t>
        </is>
      </c>
      <c r="H95"/>
      <c r="I95"/>
      <c r="J95" s="5" t="inlineStr">
        <is>
          <t>0</t>
        </is>
      </c>
      <c r="K95" s="5" t="inlineStr">
        <is>
          <t>*</t>
        </is>
      </c>
      <c r="L95" t="n">
        <v>0.0</v>
      </c>
      <c r="M95" s="5" t="inlineStr">
        <is>
          <t>602</t>
        </is>
      </c>
      <c r="N95" s="5" t="inlineStr">
        <is>
          <t xml:space="preserve">  -</t>
        </is>
      </c>
      <c r="O95" s="5" t="inlineStr">
        <is>
          <t xml:space="preserve">  -</t>
        </is>
      </c>
      <c r="P95" s="5" t="inlineStr">
        <is>
          <t xml:space="preserve">  -</t>
        </is>
      </c>
      <c r="Q95" s="5" t="inlineStr">
        <is>
          <t>010</t>
        </is>
      </c>
      <c r="R95"/>
      <c r="S95" t="n">
        <v>1.0</v>
      </c>
      <c r="T95"/>
      <c r="U95" t="n">
        <v>1.0</v>
      </c>
      <c r="V95"/>
      <c r="W95" t="n">
        <v>0.0</v>
      </c>
      <c r="X95" t="n">
        <v>0.0</v>
      </c>
      <c r="Y95" t="n">
        <v>0.0</v>
      </c>
      <c r="Z95"/>
      <c r="AA95" t="n">
        <v>0.0</v>
      </c>
      <c r="AB95"/>
      <c r="AC95" t="n">
        <v>1.0</v>
      </c>
      <c r="AD95" s="5" t="inlineStr">
        <is>
          <t>pcs</t>
        </is>
      </c>
      <c r="AE95"/>
      <c r="AF95" s="5" t="inlineStr">
        <is>
          <t>pcs</t>
        </is>
      </c>
      <c r="AG95"/>
      <c r="AH95" t="inlineStr">
        <is>
          <t>No</t>
        </is>
      </c>
      <c r="AI95" s="2" t="n">
        <v>45841.408738425926</v>
      </c>
      <c r="AJ95" s="1" t="n">
        <f>DATE(2025,7,3)</f>
        <v>0.0</v>
      </c>
      <c r="AK95" t="inlineStr">
        <is>
          <t>Picking</t>
        </is>
      </c>
      <c r="AL95" s="2" t="n">
        <v>44336.593819444446</v>
      </c>
      <c r="AM95"/>
      <c r="AN95"/>
      <c r="AO95" t="n">
        <v>0.0</v>
      </c>
      <c r="AP95" t="n">
        <v>0.0</v>
      </c>
      <c r="AQ95"/>
      <c r="AR95" t="n">
        <v>0.01</v>
      </c>
      <c r="AS95" t="n">
        <v>0.01</v>
      </c>
      <c r="AT95" s="5" t="inlineStr">
        <is>
          <t>AUD</t>
        </is>
      </c>
      <c r="AU95" t="inlineStr">
        <is>
          <t>Company Owned</t>
        </is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t="n">
        <v>0.0</v>
      </c>
      <c r="BK95"/>
      <c r="BL95"/>
      <c r="BM95"/>
      <c r="BN95"/>
      <c r="BO95"/>
      <c r="BP95"/>
      <c r="BQ95"/>
      <c r="BR95"/>
      <c r="BS95"/>
      <c r="BT95"/>
      <c r="BU95" t="inlineStr">
        <is>
          <t>Yes</t>
        </is>
      </c>
      <c r="BV95"/>
      <c r="BW95"/>
      <c r="BX95"/>
    </row>
    <row r="96">
      <c r="A96" s="5" t="inlineStr">
        <is>
          <t>SERV</t>
        </is>
      </c>
      <c r="B96" s="5" t="inlineStr">
        <is>
          <t>139083</t>
        </is>
      </c>
      <c r="C96" s="5" t="inlineStr">
        <is>
          <t>Pump Steam Generator S/S</t>
        </is>
      </c>
      <c r="D96" s="5" t="inlineStr">
        <is>
          <t>*</t>
        </is>
      </c>
      <c r="E96" s="5" t="inlineStr">
        <is>
          <t>602-009</t>
        </is>
      </c>
      <c r="F96" s="5" t="inlineStr">
        <is>
          <t>*</t>
        </is>
      </c>
      <c r="G96" s="5" t="inlineStr">
        <is>
          <t>*</t>
        </is>
      </c>
      <c r="H96"/>
      <c r="I96"/>
      <c r="J96" s="5" t="inlineStr">
        <is>
          <t>1</t>
        </is>
      </c>
      <c r="K96" s="5" t="inlineStr">
        <is>
          <t>*</t>
        </is>
      </c>
      <c r="L96" t="n">
        <v>0.0</v>
      </c>
      <c r="M96" s="5" t="inlineStr">
        <is>
          <t>602</t>
        </is>
      </c>
      <c r="N96" s="5" t="inlineStr">
        <is>
          <t xml:space="preserve">  -</t>
        </is>
      </c>
      <c r="O96" s="5" t="inlineStr">
        <is>
          <t xml:space="preserve">  -</t>
        </is>
      </c>
      <c r="P96" s="5" t="inlineStr">
        <is>
          <t xml:space="preserve">  -</t>
        </is>
      </c>
      <c r="Q96" s="5" t="inlineStr">
        <is>
          <t>009</t>
        </is>
      </c>
      <c r="R96"/>
      <c r="S96" t="n">
        <v>1.0</v>
      </c>
      <c r="T96"/>
      <c r="U96" t="n">
        <v>1.0</v>
      </c>
      <c r="V96"/>
      <c r="W96" t="n">
        <v>0.0</v>
      </c>
      <c r="X96" t="n">
        <v>0.0</v>
      </c>
      <c r="Y96" t="n">
        <v>0.0</v>
      </c>
      <c r="Z96"/>
      <c r="AA96" t="n">
        <v>0.0</v>
      </c>
      <c r="AB96"/>
      <c r="AC96" t="n">
        <v>1.0</v>
      </c>
      <c r="AD96" s="5" t="inlineStr">
        <is>
          <t>pcs</t>
        </is>
      </c>
      <c r="AE96"/>
      <c r="AF96" s="5" t="inlineStr">
        <is>
          <t>pcs</t>
        </is>
      </c>
      <c r="AG96"/>
      <c r="AH96" t="inlineStr">
        <is>
          <t>No</t>
        </is>
      </c>
      <c r="AI96" s="2" t="n">
        <v>45841.40872685185</v>
      </c>
      <c r="AJ96" s="1" t="n">
        <f>DATE(2025,7,3)</f>
        <v>0.0</v>
      </c>
      <c r="AK96" t="inlineStr">
        <is>
          <t>Picking</t>
        </is>
      </c>
      <c r="AL96" s="2" t="n">
        <v>45303.45832175926</v>
      </c>
      <c r="AM96"/>
      <c r="AN96"/>
      <c r="AO96" t="n">
        <v>0.0</v>
      </c>
      <c r="AP96" t="n">
        <v>0.0</v>
      </c>
      <c r="AQ96"/>
      <c r="AR96" t="n">
        <v>218.51083333333332</v>
      </c>
      <c r="AS96" t="n">
        <v>218.51083333333332</v>
      </c>
      <c r="AT96" s="5" t="inlineStr">
        <is>
          <t>AUD</t>
        </is>
      </c>
      <c r="AU96" t="inlineStr">
        <is>
          <t>Company Owned</t>
        </is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t="n">
        <v>0.0</v>
      </c>
      <c r="BK96"/>
      <c r="BL96"/>
      <c r="BM96"/>
      <c r="BN96"/>
      <c r="BO96"/>
      <c r="BP96"/>
      <c r="BQ96"/>
      <c r="BR96"/>
      <c r="BS96"/>
      <c r="BT96"/>
      <c r="BU96" t="inlineStr">
        <is>
          <t>Yes</t>
        </is>
      </c>
      <c r="BV96"/>
      <c r="BW96"/>
      <c r="BX96"/>
    </row>
    <row r="97">
      <c r="A97" s="5" t="inlineStr">
        <is>
          <t>SERV</t>
        </is>
      </c>
      <c r="B97" s="5" t="inlineStr">
        <is>
          <t>138454</t>
        </is>
      </c>
      <c r="C97" s="5" t="inlineStr">
        <is>
          <t>Valve Solenoid 1/4 Steam Tangent</t>
        </is>
      </c>
      <c r="D97" s="5" t="inlineStr">
        <is>
          <t>*</t>
        </is>
      </c>
      <c r="E97" s="5" t="inlineStr">
        <is>
          <t>602-010</t>
        </is>
      </c>
      <c r="F97" s="5" t="inlineStr">
        <is>
          <t>*</t>
        </is>
      </c>
      <c r="G97" s="5" t="inlineStr">
        <is>
          <t>*</t>
        </is>
      </c>
      <c r="H97"/>
      <c r="I97"/>
      <c r="J97" s="5" t="inlineStr">
        <is>
          <t>0</t>
        </is>
      </c>
      <c r="K97" s="5" t="inlineStr">
        <is>
          <t>*</t>
        </is>
      </c>
      <c r="L97" t="n">
        <v>0.0</v>
      </c>
      <c r="M97" s="5" t="inlineStr">
        <is>
          <t>602</t>
        </is>
      </c>
      <c r="N97" s="5" t="inlineStr">
        <is>
          <t xml:space="preserve">  -</t>
        </is>
      </c>
      <c r="O97" s="5" t="inlineStr">
        <is>
          <t xml:space="preserve">  -</t>
        </is>
      </c>
      <c r="P97" s="5" t="inlineStr">
        <is>
          <t xml:space="preserve">  -</t>
        </is>
      </c>
      <c r="Q97" s="5" t="inlineStr">
        <is>
          <t>010</t>
        </is>
      </c>
      <c r="R97"/>
      <c r="S97" t="n">
        <v>1.0</v>
      </c>
      <c r="T97"/>
      <c r="U97" t="n">
        <v>1.0</v>
      </c>
      <c r="V97"/>
      <c r="W97" t="n">
        <v>0.0</v>
      </c>
      <c r="X97" t="n">
        <v>0.0</v>
      </c>
      <c r="Y97" t="n">
        <v>0.0</v>
      </c>
      <c r="Z97"/>
      <c r="AA97" t="n">
        <v>0.0</v>
      </c>
      <c r="AB97"/>
      <c r="AC97" t="n">
        <v>1.0</v>
      </c>
      <c r="AD97" s="5" t="inlineStr">
        <is>
          <t>pcs</t>
        </is>
      </c>
      <c r="AE97"/>
      <c r="AF97" s="5" t="inlineStr">
        <is>
          <t>pcs</t>
        </is>
      </c>
      <c r="AG97"/>
      <c r="AH97" t="inlineStr">
        <is>
          <t>No</t>
        </is>
      </c>
      <c r="AI97" s="2" t="n">
        <v>45848.44866898148</v>
      </c>
      <c r="AJ97" s="1" t="n">
        <f>DATE(2025,7,3)</f>
        <v>0.0</v>
      </c>
      <c r="AK97" t="inlineStr">
        <is>
          <t>Picking</t>
        </is>
      </c>
      <c r="AL97" s="2" t="n">
        <v>44356.53732638889</v>
      </c>
      <c r="AM97"/>
      <c r="AN97"/>
      <c r="AO97" t="n">
        <v>0.0</v>
      </c>
      <c r="AP97" t="n">
        <v>-1.0</v>
      </c>
      <c r="AQ97"/>
      <c r="AR97" t="n">
        <v>87.29617735849057</v>
      </c>
      <c r="AS97" t="n">
        <v>87.29617735849057</v>
      </c>
      <c r="AT97" s="5" t="inlineStr">
        <is>
          <t>AUD</t>
        </is>
      </c>
      <c r="AU97" t="inlineStr">
        <is>
          <t>Company Owned</t>
        </is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t="n">
        <v>0.0</v>
      </c>
      <c r="BK97"/>
      <c r="BL97"/>
      <c r="BM97"/>
      <c r="BN97"/>
      <c r="BO97"/>
      <c r="BP97"/>
      <c r="BQ97"/>
      <c r="BR97"/>
      <c r="BS97"/>
      <c r="BT97"/>
      <c r="BU97" t="inlineStr">
        <is>
          <t>Yes</t>
        </is>
      </c>
      <c r="BV97"/>
      <c r="BW97"/>
      <c r="BX97"/>
    </row>
    <row r="98">
      <c r="A98" s="5" t="inlineStr">
        <is>
          <t>SERV</t>
        </is>
      </c>
      <c r="B98" s="5" t="inlineStr">
        <is>
          <t>138466</t>
        </is>
      </c>
      <c r="C98" s="5" t="inlineStr">
        <is>
          <t>Valve Check 3/8 Steam Tangent (139981)</t>
        </is>
      </c>
      <c r="D98" s="5" t="inlineStr">
        <is>
          <t>*</t>
        </is>
      </c>
      <c r="E98" s="5" t="inlineStr">
        <is>
          <t>602-007</t>
        </is>
      </c>
      <c r="F98" s="5" t="inlineStr">
        <is>
          <t>*</t>
        </is>
      </c>
      <c r="G98" s="5" t="inlineStr">
        <is>
          <t>*</t>
        </is>
      </c>
      <c r="H98"/>
      <c r="I98"/>
      <c r="J98" s="5" t="inlineStr">
        <is>
          <t>0</t>
        </is>
      </c>
      <c r="K98" s="5" t="inlineStr">
        <is>
          <t>*</t>
        </is>
      </c>
      <c r="L98" t="n">
        <v>0.0</v>
      </c>
      <c r="M98" s="5" t="inlineStr">
        <is>
          <t>602</t>
        </is>
      </c>
      <c r="N98" s="5" t="inlineStr">
        <is>
          <t xml:space="preserve">  -</t>
        </is>
      </c>
      <c r="O98" s="5" t="inlineStr">
        <is>
          <t xml:space="preserve">  -</t>
        </is>
      </c>
      <c r="P98" s="5" t="inlineStr">
        <is>
          <t xml:space="preserve">  -</t>
        </is>
      </c>
      <c r="Q98" s="5" t="inlineStr">
        <is>
          <t>007</t>
        </is>
      </c>
      <c r="R98"/>
      <c r="S98" t="n">
        <v>16.0</v>
      </c>
      <c r="T98"/>
      <c r="U98" t="n">
        <v>16.0</v>
      </c>
      <c r="V98"/>
      <c r="W98" t="n">
        <v>0.0</v>
      </c>
      <c r="X98" t="n">
        <v>0.0</v>
      </c>
      <c r="Y98" t="n">
        <v>0.0</v>
      </c>
      <c r="Z98"/>
      <c r="AA98" t="n">
        <v>0.0</v>
      </c>
      <c r="AB98"/>
      <c r="AC98" t="n">
        <v>16.0</v>
      </c>
      <c r="AD98" s="5" t="inlineStr">
        <is>
          <t>pcs</t>
        </is>
      </c>
      <c r="AE98"/>
      <c r="AF98" s="5" t="inlineStr">
        <is>
          <t>pcs</t>
        </is>
      </c>
      <c r="AG98"/>
      <c r="AH98" t="inlineStr">
        <is>
          <t>No</t>
        </is>
      </c>
      <c r="AI98" s="2" t="n">
        <v>45841.40872685185</v>
      </c>
      <c r="AJ98" s="1" t="n">
        <f>DATE(2025,7,3)</f>
        <v>0.0</v>
      </c>
      <c r="AK98" t="inlineStr">
        <is>
          <t>Picking</t>
        </is>
      </c>
      <c r="AL98" s="2" t="n">
        <v>44756.30975694444</v>
      </c>
      <c r="AM98"/>
      <c r="AN98"/>
      <c r="AO98" t="n">
        <v>0.0</v>
      </c>
      <c r="AP98" t="n">
        <v>10.0</v>
      </c>
      <c r="AQ98"/>
      <c r="AR98" t="n">
        <v>21.041924055417628</v>
      </c>
      <c r="AS98" t="n">
        <v>336.67078488668204</v>
      </c>
      <c r="AT98" s="5" t="inlineStr">
        <is>
          <t>AUD</t>
        </is>
      </c>
      <c r="AU98" t="inlineStr">
        <is>
          <t>Company Owned</t>
        </is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t="n">
        <v>0.0</v>
      </c>
      <c r="BK98"/>
      <c r="BL98"/>
      <c r="BM98"/>
      <c r="BN98"/>
      <c r="BO98"/>
      <c r="BP98"/>
      <c r="BQ98"/>
      <c r="BR98"/>
      <c r="BS98"/>
      <c r="BT98"/>
      <c r="BU98" t="inlineStr">
        <is>
          <t>Yes</t>
        </is>
      </c>
      <c r="BV98"/>
      <c r="BW98"/>
      <c r="BX98"/>
    </row>
    <row r="99">
      <c r="A99" s="5" t="inlineStr">
        <is>
          <t>SERV</t>
        </is>
      </c>
      <c r="B99" s="5" t="inlineStr">
        <is>
          <t>139126</t>
        </is>
      </c>
      <c r="C99" s="5" t="inlineStr">
        <is>
          <t>Filter Disposable Drying Cab</t>
        </is>
      </c>
      <c r="D99" s="5" t="inlineStr">
        <is>
          <t>*</t>
        </is>
      </c>
      <c r="E99" s="5" t="inlineStr">
        <is>
          <t>602-014</t>
        </is>
      </c>
      <c r="F99" s="5" t="inlineStr">
        <is>
          <t>*</t>
        </is>
      </c>
      <c r="G99" s="5" t="inlineStr">
        <is>
          <t>*</t>
        </is>
      </c>
      <c r="H99"/>
      <c r="I99"/>
      <c r="J99" s="5" t="inlineStr">
        <is>
          <t>1</t>
        </is>
      </c>
      <c r="K99" s="5" t="inlineStr">
        <is>
          <t>*</t>
        </is>
      </c>
      <c r="L99" t="n">
        <v>0.0</v>
      </c>
      <c r="M99" s="5" t="inlineStr">
        <is>
          <t>602</t>
        </is>
      </c>
      <c r="N99" s="5" t="inlineStr">
        <is>
          <t xml:space="preserve">  -</t>
        </is>
      </c>
      <c r="O99" s="5" t="inlineStr">
        <is>
          <t xml:space="preserve">  -</t>
        </is>
      </c>
      <c r="P99" s="5" t="inlineStr">
        <is>
          <t xml:space="preserve">  -</t>
        </is>
      </c>
      <c r="Q99" s="5" t="inlineStr">
        <is>
          <t>014</t>
        </is>
      </c>
      <c r="R99"/>
      <c r="S99" t="n">
        <v>7.0</v>
      </c>
      <c r="T99"/>
      <c r="U99" t="n">
        <v>7.0</v>
      </c>
      <c r="V99"/>
      <c r="W99" t="n">
        <v>0.0</v>
      </c>
      <c r="X99" t="n">
        <v>0.0</v>
      </c>
      <c r="Y99" t="n">
        <v>0.0</v>
      </c>
      <c r="Z99"/>
      <c r="AA99" t="n">
        <v>0.0</v>
      </c>
      <c r="AB99"/>
      <c r="AC99" t="n">
        <v>7.0</v>
      </c>
      <c r="AD99" s="5" t="inlineStr">
        <is>
          <t>pcs</t>
        </is>
      </c>
      <c r="AE99"/>
      <c r="AF99" s="5" t="inlineStr">
        <is>
          <t>pcs</t>
        </is>
      </c>
      <c r="AG99"/>
      <c r="AH99" t="inlineStr">
        <is>
          <t>No</t>
        </is>
      </c>
      <c r="AI99" s="2" t="n">
        <v>45841.408738425926</v>
      </c>
      <c r="AJ99" s="1" t="n">
        <f>DATE(2025,7,3)</f>
        <v>0.0</v>
      </c>
      <c r="AK99" t="inlineStr">
        <is>
          <t>Picking</t>
        </is>
      </c>
      <c r="AL99" s="2" t="n">
        <v>44642.430983796294</v>
      </c>
      <c r="AM99"/>
      <c r="AN99"/>
      <c r="AO99" t="n">
        <v>0.0</v>
      </c>
      <c r="AP99" t="n">
        <v>-1.0</v>
      </c>
      <c r="AQ99"/>
      <c r="AR99" t="n">
        <v>4.627696860242219</v>
      </c>
      <c r="AS99" t="n">
        <v>32.39387802169553</v>
      </c>
      <c r="AT99" s="5" t="inlineStr">
        <is>
          <t>AUD</t>
        </is>
      </c>
      <c r="AU99" t="inlineStr">
        <is>
          <t>Company Owned</t>
        </is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t="n">
        <v>0.0</v>
      </c>
      <c r="BK99"/>
      <c r="BL99"/>
      <c r="BM99"/>
      <c r="BN99"/>
      <c r="BO99"/>
      <c r="BP99"/>
      <c r="BQ99"/>
      <c r="BR99"/>
      <c r="BS99"/>
      <c r="BT99"/>
      <c r="BU99" t="inlineStr">
        <is>
          <t>Yes</t>
        </is>
      </c>
      <c r="BV99"/>
      <c r="BW99"/>
      <c r="BX99"/>
    </row>
    <row r="100">
      <c r="A100" s="5" t="inlineStr">
        <is>
          <t>SERV</t>
        </is>
      </c>
      <c r="B100" s="5" t="inlineStr">
        <is>
          <t>139132</t>
        </is>
      </c>
      <c r="C100" s="5" t="inlineStr">
        <is>
          <t>Power Supply 5Vdc 6A 30W</t>
        </is>
      </c>
      <c r="D100" s="5" t="inlineStr">
        <is>
          <t>*</t>
        </is>
      </c>
      <c r="E100" s="5" t="inlineStr">
        <is>
          <t>602-060</t>
        </is>
      </c>
      <c r="F100" s="5" t="inlineStr">
        <is>
          <t>*</t>
        </is>
      </c>
      <c r="G100" s="5" t="inlineStr">
        <is>
          <t>*</t>
        </is>
      </c>
      <c r="H100"/>
      <c r="I100"/>
      <c r="J100" s="5" t="inlineStr">
        <is>
          <t>1</t>
        </is>
      </c>
      <c r="K100" s="5" t="inlineStr">
        <is>
          <t>*</t>
        </is>
      </c>
      <c r="L100" t="n">
        <v>0.0</v>
      </c>
      <c r="M100" s="5" t="inlineStr">
        <is>
          <t>602</t>
        </is>
      </c>
      <c r="N100" s="5" t="inlineStr">
        <is>
          <t xml:space="preserve">  -</t>
        </is>
      </c>
      <c r="O100" s="5" t="inlineStr">
        <is>
          <t xml:space="preserve">  -</t>
        </is>
      </c>
      <c r="P100" s="5" t="inlineStr">
        <is>
          <t xml:space="preserve">  -</t>
        </is>
      </c>
      <c r="Q100" s="5" t="inlineStr">
        <is>
          <t>060</t>
        </is>
      </c>
      <c r="R100"/>
      <c r="S100" t="n">
        <v>1.0</v>
      </c>
      <c r="T100"/>
      <c r="U100" t="n">
        <v>1.0</v>
      </c>
      <c r="V100"/>
      <c r="W100" t="n">
        <v>0.0</v>
      </c>
      <c r="X100" t="n">
        <v>0.0</v>
      </c>
      <c r="Y100" t="n">
        <v>0.0</v>
      </c>
      <c r="Z100"/>
      <c r="AA100" t="n">
        <v>0.0</v>
      </c>
      <c r="AB100"/>
      <c r="AC100" t="n">
        <v>1.0</v>
      </c>
      <c r="AD100" s="5" t="inlineStr">
        <is>
          <t>pcs</t>
        </is>
      </c>
      <c r="AE100"/>
      <c r="AF100" s="5" t="inlineStr">
        <is>
          <t>pcs</t>
        </is>
      </c>
      <c r="AG100"/>
      <c r="AH100" t="inlineStr">
        <is>
          <t>No</t>
        </is>
      </c>
      <c r="AI100" s="2" t="n">
        <v>45841.408784722225</v>
      </c>
      <c r="AJ100" s="1" t="n">
        <f>DATE(2025,7,3)</f>
        <v>0.0</v>
      </c>
      <c r="AK100" t="inlineStr">
        <is>
          <t>Picking</t>
        </is>
      </c>
      <c r="AL100" s="2" t="n">
        <v>44762.427881944444</v>
      </c>
      <c r="AM100"/>
      <c r="AN100"/>
      <c r="AO100" t="n">
        <v>0.0</v>
      </c>
      <c r="AP100" t="n">
        <v>0.0</v>
      </c>
      <c r="AQ100"/>
      <c r="AR100" t="n">
        <v>72.5</v>
      </c>
      <c r="AS100" t="n">
        <v>72.5</v>
      </c>
      <c r="AT100" s="5" t="inlineStr">
        <is>
          <t>AUD</t>
        </is>
      </c>
      <c r="AU100" t="inlineStr">
        <is>
          <t>Company Owned</t>
        </is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t="n">
        <v>0.0</v>
      </c>
      <c r="BK100"/>
      <c r="BL100"/>
      <c r="BM100"/>
      <c r="BN100"/>
      <c r="BO100"/>
      <c r="BP100"/>
      <c r="BQ100"/>
      <c r="BR100"/>
      <c r="BS100"/>
      <c r="BT100"/>
      <c r="BU100" t="inlineStr">
        <is>
          <t>Yes</t>
        </is>
      </c>
      <c r="BV100"/>
      <c r="BW100"/>
      <c r="BX100"/>
    </row>
    <row r="101">
      <c r="A101" s="5" t="inlineStr">
        <is>
          <t>SERV</t>
        </is>
      </c>
      <c r="B101" s="5" t="inlineStr">
        <is>
          <t>139135</t>
        </is>
      </c>
      <c r="C101" s="5" t="inlineStr">
        <is>
          <t>Tee S/S Branch 1/4 Sl X 1/4 M</t>
        </is>
      </c>
      <c r="D101" s="5" t="inlineStr">
        <is>
          <t>*</t>
        </is>
      </c>
      <c r="E101" s="5" t="inlineStr">
        <is>
          <t>602-022</t>
        </is>
      </c>
      <c r="F101" s="5" t="inlineStr">
        <is>
          <t>*</t>
        </is>
      </c>
      <c r="G101" s="5" t="inlineStr">
        <is>
          <t>*</t>
        </is>
      </c>
      <c r="H101"/>
      <c r="I101"/>
      <c r="J101" s="5" t="inlineStr">
        <is>
          <t>1</t>
        </is>
      </c>
      <c r="K101" s="5" t="inlineStr">
        <is>
          <t>*</t>
        </is>
      </c>
      <c r="L101" t="n">
        <v>0.0</v>
      </c>
      <c r="M101" s="5" t="inlineStr">
        <is>
          <t>602</t>
        </is>
      </c>
      <c r="N101" s="5" t="inlineStr">
        <is>
          <t xml:space="preserve">  -</t>
        </is>
      </c>
      <c r="O101" s="5" t="inlineStr">
        <is>
          <t xml:space="preserve">  -</t>
        </is>
      </c>
      <c r="P101" s="5" t="inlineStr">
        <is>
          <t xml:space="preserve">  -</t>
        </is>
      </c>
      <c r="Q101" s="5" t="inlineStr">
        <is>
          <t>022</t>
        </is>
      </c>
      <c r="R101"/>
      <c r="S101" t="n">
        <v>1.0</v>
      </c>
      <c r="T101"/>
      <c r="U101" t="n">
        <v>1.0</v>
      </c>
      <c r="V101"/>
      <c r="W101" t="n">
        <v>0.0</v>
      </c>
      <c r="X101" t="n">
        <v>0.0</v>
      </c>
      <c r="Y101" t="n">
        <v>0.0</v>
      </c>
      <c r="Z101"/>
      <c r="AA101" t="n">
        <v>0.0</v>
      </c>
      <c r="AB101"/>
      <c r="AC101" t="n">
        <v>1.0</v>
      </c>
      <c r="AD101" s="5" t="inlineStr">
        <is>
          <t>pcs</t>
        </is>
      </c>
      <c r="AE101"/>
      <c r="AF101" s="5" t="inlineStr">
        <is>
          <t>pcs</t>
        </is>
      </c>
      <c r="AG101"/>
      <c r="AH101" t="inlineStr">
        <is>
          <t>No</t>
        </is>
      </c>
      <c r="AI101" s="2" t="n">
        <v>45841.40875</v>
      </c>
      <c r="AJ101" s="1" t="n">
        <f>DATE(2025,7,3)</f>
        <v>0.0</v>
      </c>
      <c r="AK101" t="inlineStr">
        <is>
          <t>Picking</t>
        </is>
      </c>
      <c r="AL101" s="2" t="n">
        <v>43271.340682870374</v>
      </c>
      <c r="AM101"/>
      <c r="AN101"/>
      <c r="AO101" t="n">
        <v>0.0</v>
      </c>
      <c r="AP101" t="n">
        <v>0.0</v>
      </c>
      <c r="AQ101"/>
      <c r="AR101" t="n">
        <v>21.95</v>
      </c>
      <c r="AS101" t="n">
        <v>21.95</v>
      </c>
      <c r="AT101" s="5" t="inlineStr">
        <is>
          <t>AUD</t>
        </is>
      </c>
      <c r="AU101" t="inlineStr">
        <is>
          <t>Company Owned</t>
        </is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t="n">
        <v>0.0</v>
      </c>
      <c r="BK101"/>
      <c r="BL101"/>
      <c r="BM101"/>
      <c r="BN101"/>
      <c r="BO101"/>
      <c r="BP101"/>
      <c r="BQ101"/>
      <c r="BR101"/>
      <c r="BS101"/>
      <c r="BT101"/>
      <c r="BU101" t="inlineStr">
        <is>
          <t>Yes</t>
        </is>
      </c>
      <c r="BV101"/>
      <c r="BW101"/>
      <c r="BX101"/>
    </row>
    <row r="102">
      <c r="A102" s="5" t="inlineStr">
        <is>
          <t>SERV</t>
        </is>
      </c>
      <c r="B102" s="5" t="inlineStr">
        <is>
          <t>139610</t>
        </is>
      </c>
      <c r="C102" s="5" t="inlineStr">
        <is>
          <t>Loctite Nickle Anti Seize LB 771 450G</t>
        </is>
      </c>
      <c r="D102" s="5" t="inlineStr">
        <is>
          <t>*</t>
        </is>
      </c>
      <c r="E102" s="5" t="inlineStr">
        <is>
          <t>602-001</t>
        </is>
      </c>
      <c r="F102" s="5" t="inlineStr">
        <is>
          <t>*</t>
        </is>
      </c>
      <c r="G102" s="5" t="inlineStr">
        <is>
          <t>*</t>
        </is>
      </c>
      <c r="H102"/>
      <c r="I102"/>
      <c r="J102" s="5" t="inlineStr">
        <is>
          <t>1</t>
        </is>
      </c>
      <c r="K102" s="5" t="inlineStr">
        <is>
          <t>*</t>
        </is>
      </c>
      <c r="L102" t="n">
        <v>0.0</v>
      </c>
      <c r="M102" s="5" t="inlineStr">
        <is>
          <t>602</t>
        </is>
      </c>
      <c r="N102" s="5" t="inlineStr">
        <is>
          <t xml:space="preserve">  -</t>
        </is>
      </c>
      <c r="O102" s="5" t="inlineStr">
        <is>
          <t xml:space="preserve">  -</t>
        </is>
      </c>
      <c r="P102" s="5" t="inlineStr">
        <is>
          <t xml:space="preserve">  -</t>
        </is>
      </c>
      <c r="Q102" s="5" t="inlineStr">
        <is>
          <t>001</t>
        </is>
      </c>
      <c r="R102"/>
      <c r="S102" t="n">
        <v>1.0</v>
      </c>
      <c r="T102"/>
      <c r="U102" t="n">
        <v>1.0</v>
      </c>
      <c r="V102"/>
      <c r="W102" t="n">
        <v>0.0</v>
      </c>
      <c r="X102" t="n">
        <v>0.0</v>
      </c>
      <c r="Y102" t="n">
        <v>0.0</v>
      </c>
      <c r="Z102"/>
      <c r="AA102" t="n">
        <v>0.0</v>
      </c>
      <c r="AB102"/>
      <c r="AC102" t="n">
        <v>1.0</v>
      </c>
      <c r="AD102" s="5" t="inlineStr">
        <is>
          <t>pcs</t>
        </is>
      </c>
      <c r="AE102"/>
      <c r="AF102" s="5" t="inlineStr">
        <is>
          <t>pcs</t>
        </is>
      </c>
      <c r="AG102"/>
      <c r="AH102" t="inlineStr">
        <is>
          <t>No</t>
        </is>
      </c>
      <c r="AI102" s="2" t="n">
        <v>45841.40898148148</v>
      </c>
      <c r="AJ102" s="1" t="n">
        <f>DATE(2024,8,15)</f>
        <v>0.0</v>
      </c>
      <c r="AK102" t="inlineStr">
        <is>
          <t>Picking</t>
        </is>
      </c>
      <c r="AL102" s="2" t="n">
        <v>43063.44290509259</v>
      </c>
      <c r="AM102"/>
      <c r="AN102"/>
      <c r="AO102" t="n">
        <v>0.0</v>
      </c>
      <c r="AP102" t="n">
        <v>0.0</v>
      </c>
      <c r="AQ102"/>
      <c r="AR102" t="n">
        <v>48.778333333333336</v>
      </c>
      <c r="AS102" t="n">
        <v>48.778333333333336</v>
      </c>
      <c r="AT102" s="5" t="inlineStr">
        <is>
          <t>AUD</t>
        </is>
      </c>
      <c r="AU102" t="inlineStr">
        <is>
          <t>Company Owned</t>
        </is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t="n">
        <v>0.0</v>
      </c>
      <c r="BK102"/>
      <c r="BL102"/>
      <c r="BM102"/>
      <c r="BN102"/>
      <c r="BO102"/>
      <c r="BP102"/>
      <c r="BQ102"/>
      <c r="BR102"/>
      <c r="BS102"/>
      <c r="BT102"/>
      <c r="BU102" t="inlineStr">
        <is>
          <t>Yes</t>
        </is>
      </c>
      <c r="BV102"/>
      <c r="BW102"/>
      <c r="BX102"/>
    </row>
    <row r="103">
      <c r="A103" s="5" t="inlineStr">
        <is>
          <t>SERV</t>
        </is>
      </c>
      <c r="B103" s="5" t="inlineStr">
        <is>
          <t>138486</t>
        </is>
      </c>
      <c r="C103" s="5" t="inlineStr">
        <is>
          <t>Tube Pfa 1/4 Dia</t>
        </is>
      </c>
      <c r="D103" s="5" t="inlineStr">
        <is>
          <t>*</t>
        </is>
      </c>
      <c r="E103" s="5" t="inlineStr">
        <is>
          <t>602-023</t>
        </is>
      </c>
      <c r="F103" s="5" t="inlineStr">
        <is>
          <t>*</t>
        </is>
      </c>
      <c r="G103" s="5" t="inlineStr">
        <is>
          <t>*</t>
        </is>
      </c>
      <c r="H103"/>
      <c r="I103"/>
      <c r="J103" s="5" t="inlineStr">
        <is>
          <t>0</t>
        </is>
      </c>
      <c r="K103" s="5" t="inlineStr">
        <is>
          <t>*</t>
        </is>
      </c>
      <c r="L103" t="n">
        <v>0.0</v>
      </c>
      <c r="M103" s="5" t="inlineStr">
        <is>
          <t>602</t>
        </is>
      </c>
      <c r="N103" s="5" t="inlineStr">
        <is>
          <t xml:space="preserve">  -</t>
        </is>
      </c>
      <c r="O103" s="5" t="inlineStr">
        <is>
          <t xml:space="preserve">  -</t>
        </is>
      </c>
      <c r="P103" s="5" t="inlineStr">
        <is>
          <t xml:space="preserve">  -</t>
        </is>
      </c>
      <c r="Q103" s="5" t="inlineStr">
        <is>
          <t>023</t>
        </is>
      </c>
      <c r="R103"/>
      <c r="S103" t="n">
        <v>2.0</v>
      </c>
      <c r="T103"/>
      <c r="U103" t="n">
        <v>2.0</v>
      </c>
      <c r="V103"/>
      <c r="W103" t="n">
        <v>0.0</v>
      </c>
      <c r="X103" t="n">
        <v>0.0</v>
      </c>
      <c r="Y103" t="n">
        <v>0.0</v>
      </c>
      <c r="Z103"/>
      <c r="AA103" t="n">
        <v>0.0</v>
      </c>
      <c r="AB103"/>
      <c r="AC103" t="n">
        <v>2.0</v>
      </c>
      <c r="AD103" s="5" t="inlineStr">
        <is>
          <t>m</t>
        </is>
      </c>
      <c r="AE103"/>
      <c r="AF103" s="5" t="inlineStr">
        <is>
          <t>m</t>
        </is>
      </c>
      <c r="AG103"/>
      <c r="AH103" t="inlineStr">
        <is>
          <t>No</t>
        </is>
      </c>
      <c r="AI103" s="2" t="n">
        <v>45841.40876157407</v>
      </c>
      <c r="AJ103" s="1" t="n">
        <f>DATE(2025,7,3)</f>
        <v>0.0</v>
      </c>
      <c r="AK103" t="inlineStr">
        <is>
          <t>Picking</t>
        </is>
      </c>
      <c r="AL103" s="2" t="n">
        <v>41183.44159722222</v>
      </c>
      <c r="AM103"/>
      <c r="AN103"/>
      <c r="AO103" t="n">
        <v>0.0</v>
      </c>
      <c r="AP103" t="n">
        <v>-1.0</v>
      </c>
      <c r="AQ103"/>
      <c r="AR103" t="n">
        <v>12.47243099371777</v>
      </c>
      <c r="AS103" t="n">
        <v>24.94486198743554</v>
      </c>
      <c r="AT103" s="5" t="inlineStr">
        <is>
          <t>AUD</t>
        </is>
      </c>
      <c r="AU103" t="inlineStr">
        <is>
          <t>Company Owned</t>
        </is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t="n">
        <v>0.0</v>
      </c>
      <c r="BK103"/>
      <c r="BL103"/>
      <c r="BM103"/>
      <c r="BN103"/>
      <c r="BO103"/>
      <c r="BP103"/>
      <c r="BQ103"/>
      <c r="BR103"/>
      <c r="BS103"/>
      <c r="BT103"/>
      <c r="BU103" t="inlineStr">
        <is>
          <t>Yes</t>
        </is>
      </c>
      <c r="BV103"/>
      <c r="BW103"/>
      <c r="BX103"/>
    </row>
    <row r="104">
      <c r="A104" s="5" t="inlineStr">
        <is>
          <t>SERV</t>
        </is>
      </c>
      <c r="B104" s="5" t="inlineStr">
        <is>
          <t>138487</t>
        </is>
      </c>
      <c r="C104" s="5" t="inlineStr">
        <is>
          <t>Tube Pfa 3/8 Dia</t>
        </is>
      </c>
      <c r="D104" s="5" t="inlineStr">
        <is>
          <t>*</t>
        </is>
      </c>
      <c r="E104" s="5" t="inlineStr">
        <is>
          <t>602-023</t>
        </is>
      </c>
      <c r="F104" s="5" t="inlineStr">
        <is>
          <t>*</t>
        </is>
      </c>
      <c r="G104" s="5" t="inlineStr">
        <is>
          <t>*</t>
        </is>
      </c>
      <c r="H104"/>
      <c r="I104"/>
      <c r="J104" s="5" t="inlineStr">
        <is>
          <t>0</t>
        </is>
      </c>
      <c r="K104" s="5" t="inlineStr">
        <is>
          <t>*</t>
        </is>
      </c>
      <c r="L104" t="n">
        <v>0.0</v>
      </c>
      <c r="M104" s="5" t="inlineStr">
        <is>
          <t>602</t>
        </is>
      </c>
      <c r="N104" s="5" t="inlineStr">
        <is>
          <t xml:space="preserve">  -</t>
        </is>
      </c>
      <c r="O104" s="5" t="inlineStr">
        <is>
          <t xml:space="preserve">  -</t>
        </is>
      </c>
      <c r="P104" s="5" t="inlineStr">
        <is>
          <t xml:space="preserve">  -</t>
        </is>
      </c>
      <c r="Q104" s="5" t="inlineStr">
        <is>
          <t>023</t>
        </is>
      </c>
      <c r="R104"/>
      <c r="S104" t="n">
        <v>0.0</v>
      </c>
      <c r="T104"/>
      <c r="U104" t="n">
        <v>0.0</v>
      </c>
      <c r="V104"/>
      <c r="W104" t="n">
        <v>0.0</v>
      </c>
      <c r="X104" t="n">
        <v>0.0</v>
      </c>
      <c r="Y104" t="n">
        <v>0.0</v>
      </c>
      <c r="Z104"/>
      <c r="AA104" t="n">
        <v>0.0</v>
      </c>
      <c r="AB104"/>
      <c r="AC104" t="n">
        <v>0.0</v>
      </c>
      <c r="AD104" s="5" t="inlineStr">
        <is>
          <t>m</t>
        </is>
      </c>
      <c r="AE104"/>
      <c r="AF104" s="5" t="inlineStr">
        <is>
          <t>m</t>
        </is>
      </c>
      <c r="AG104"/>
      <c r="AH104" t="inlineStr">
        <is>
          <t>No</t>
        </is>
      </c>
      <c r="AI104" s="2" t="n">
        <v>45987.379791666666</v>
      </c>
      <c r="AJ104" s="1" t="n">
        <f>DATE(2025,7,3)</f>
        <v>0.0</v>
      </c>
      <c r="AK104" t="inlineStr">
        <is>
          <t>Picking</t>
        </is>
      </c>
      <c r="AL104" s="2" t="n">
        <v>41183.44170138889</v>
      </c>
      <c r="AM104"/>
      <c r="AN104"/>
      <c r="AO104" t="n">
        <v>0.0</v>
      </c>
      <c r="AP104" t="n">
        <v>-5.0</v>
      </c>
      <c r="AQ104"/>
      <c r="AR104" t="n">
        <v>0.0</v>
      </c>
      <c r="AS104" t="n">
        <v>0.0</v>
      </c>
      <c r="AT104" s="5" t="inlineStr">
        <is>
          <t>AUD</t>
        </is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t="n">
        <v>0.0</v>
      </c>
      <c r="BK104"/>
      <c r="BL104"/>
      <c r="BM104"/>
      <c r="BN104"/>
      <c r="BO104"/>
      <c r="BP104"/>
      <c r="BQ104"/>
      <c r="BR104"/>
      <c r="BS104"/>
      <c r="BT104"/>
      <c r="BU104" t="inlineStr">
        <is>
          <t>Yes</t>
        </is>
      </c>
      <c r="BV104"/>
      <c r="BW104"/>
      <c r="BX104"/>
    </row>
    <row r="105">
      <c r="A105" s="5" t="inlineStr">
        <is>
          <t>SERV</t>
        </is>
      </c>
      <c r="B105" s="5" t="inlineStr">
        <is>
          <t>138488</t>
        </is>
      </c>
      <c r="C105" s="5" t="inlineStr">
        <is>
          <t>Tube Pfa 1/2 Dia</t>
        </is>
      </c>
      <c r="D105" s="5" t="inlineStr">
        <is>
          <t>*</t>
        </is>
      </c>
      <c r="E105" s="5" t="inlineStr">
        <is>
          <t>602-023</t>
        </is>
      </c>
      <c r="F105" s="5" t="inlineStr">
        <is>
          <t>*</t>
        </is>
      </c>
      <c r="G105" s="5" t="inlineStr">
        <is>
          <t>*</t>
        </is>
      </c>
      <c r="H105"/>
      <c r="I105"/>
      <c r="J105" s="5" t="inlineStr">
        <is>
          <t>0</t>
        </is>
      </c>
      <c r="K105" s="5" t="inlineStr">
        <is>
          <t>*</t>
        </is>
      </c>
      <c r="L105" t="n">
        <v>0.0</v>
      </c>
      <c r="M105" s="5" t="inlineStr">
        <is>
          <t>602</t>
        </is>
      </c>
      <c r="N105" s="5" t="inlineStr">
        <is>
          <t xml:space="preserve">  -</t>
        </is>
      </c>
      <c r="O105" s="5" t="inlineStr">
        <is>
          <t xml:space="preserve">  -</t>
        </is>
      </c>
      <c r="P105" s="5" t="inlineStr">
        <is>
          <t xml:space="preserve">  -</t>
        </is>
      </c>
      <c r="Q105" s="5" t="inlineStr">
        <is>
          <t>023</t>
        </is>
      </c>
      <c r="R105"/>
      <c r="S105" t="n">
        <v>1.0</v>
      </c>
      <c r="T105"/>
      <c r="U105" t="n">
        <v>1.0</v>
      </c>
      <c r="V105"/>
      <c r="W105" t="n">
        <v>0.0</v>
      </c>
      <c r="X105" t="n">
        <v>0.0</v>
      </c>
      <c r="Y105" t="n">
        <v>0.0</v>
      </c>
      <c r="Z105"/>
      <c r="AA105" t="n">
        <v>0.0</v>
      </c>
      <c r="AB105"/>
      <c r="AC105" t="n">
        <v>1.0</v>
      </c>
      <c r="AD105" s="5" t="inlineStr">
        <is>
          <t>m</t>
        </is>
      </c>
      <c r="AE105"/>
      <c r="AF105" s="5" t="inlineStr">
        <is>
          <t>m</t>
        </is>
      </c>
      <c r="AG105"/>
      <c r="AH105" t="inlineStr">
        <is>
          <t>No</t>
        </is>
      </c>
      <c r="AI105" s="2" t="n">
        <v>45841.40876157407</v>
      </c>
      <c r="AJ105" s="1" t="n">
        <f>DATE(2025,7,3)</f>
        <v>0.0</v>
      </c>
      <c r="AK105" t="inlineStr">
        <is>
          <t>Picking</t>
        </is>
      </c>
      <c r="AL105" s="2" t="n">
        <v>45075.67685185185</v>
      </c>
      <c r="AM105"/>
      <c r="AN105"/>
      <c r="AO105" t="n">
        <v>0.0</v>
      </c>
      <c r="AP105" t="n">
        <v>-3.0</v>
      </c>
      <c r="AQ105"/>
      <c r="AR105" t="n">
        <v>26.499943385675405</v>
      </c>
      <c r="AS105" t="n">
        <v>26.499943385675405</v>
      </c>
      <c r="AT105" s="5" t="inlineStr">
        <is>
          <t>AUD</t>
        </is>
      </c>
      <c r="AU105" t="inlineStr">
        <is>
          <t>Company Owned</t>
        </is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t="n">
        <v>0.0</v>
      </c>
      <c r="BK105"/>
      <c r="BL105"/>
      <c r="BM105"/>
      <c r="BN105"/>
      <c r="BO105"/>
      <c r="BP105"/>
      <c r="BQ105"/>
      <c r="BR105"/>
      <c r="BS105"/>
      <c r="BT105"/>
      <c r="BU105" t="inlineStr">
        <is>
          <t>Yes</t>
        </is>
      </c>
      <c r="BV105"/>
      <c r="BW105"/>
      <c r="BX105"/>
    </row>
    <row r="106">
      <c r="A106" s="5" t="inlineStr">
        <is>
          <t>SERV</t>
        </is>
      </c>
      <c r="B106" s="5" t="inlineStr">
        <is>
          <t>139141</t>
        </is>
      </c>
      <c r="C106" s="5" t="inlineStr">
        <is>
          <t>Union S/S 1/2 Sl X 1/4 M</t>
        </is>
      </c>
      <c r="D106" s="5" t="inlineStr">
        <is>
          <t>*</t>
        </is>
      </c>
      <c r="E106" s="5" t="inlineStr">
        <is>
          <t>602-060</t>
        </is>
      </c>
      <c r="F106" s="5" t="inlineStr">
        <is>
          <t>*</t>
        </is>
      </c>
      <c r="G106" s="5" t="inlineStr">
        <is>
          <t>*</t>
        </is>
      </c>
      <c r="H106"/>
      <c r="I106"/>
      <c r="J106" s="5" t="inlineStr">
        <is>
          <t>1</t>
        </is>
      </c>
      <c r="K106" s="5" t="inlineStr">
        <is>
          <t>*</t>
        </is>
      </c>
      <c r="L106" t="n">
        <v>0.0</v>
      </c>
      <c r="M106" s="5" t="inlineStr">
        <is>
          <t>602</t>
        </is>
      </c>
      <c r="N106" s="5" t="inlineStr">
        <is>
          <t xml:space="preserve">  -</t>
        </is>
      </c>
      <c r="O106" s="5" t="inlineStr">
        <is>
          <t xml:space="preserve">  -</t>
        </is>
      </c>
      <c r="P106" s="5" t="inlineStr">
        <is>
          <t xml:space="preserve">  -</t>
        </is>
      </c>
      <c r="Q106" s="5" t="inlineStr">
        <is>
          <t>060</t>
        </is>
      </c>
      <c r="R106"/>
      <c r="S106" t="n">
        <v>1.0</v>
      </c>
      <c r="T106"/>
      <c r="U106" t="n">
        <v>1.0</v>
      </c>
      <c r="V106"/>
      <c r="W106" t="n">
        <v>0.0</v>
      </c>
      <c r="X106" t="n">
        <v>0.0</v>
      </c>
      <c r="Y106" t="n">
        <v>0.0</v>
      </c>
      <c r="Z106"/>
      <c r="AA106" t="n">
        <v>0.0</v>
      </c>
      <c r="AB106"/>
      <c r="AC106" t="n">
        <v>1.0</v>
      </c>
      <c r="AD106" s="5" t="inlineStr">
        <is>
          <t>pcs</t>
        </is>
      </c>
      <c r="AE106"/>
      <c r="AF106" s="5" t="inlineStr">
        <is>
          <t>pcs</t>
        </is>
      </c>
      <c r="AG106"/>
      <c r="AH106" t="inlineStr">
        <is>
          <t>No</t>
        </is>
      </c>
      <c r="AI106" s="2" t="n">
        <v>45841.408784722225</v>
      </c>
      <c r="AJ106" s="1" t="n">
        <f>DATE(2025,7,3)</f>
        <v>0.0</v>
      </c>
      <c r="AK106" t="inlineStr">
        <is>
          <t>Picking</t>
        </is>
      </c>
      <c r="AL106" s="2" t="n">
        <v>41794.367627314816</v>
      </c>
      <c r="AM106"/>
      <c r="AN106"/>
      <c r="AO106" t="n">
        <v>0.0</v>
      </c>
      <c r="AP106" t="n">
        <v>0.0</v>
      </c>
      <c r="AQ106"/>
      <c r="AR106" t="n">
        <v>12.84142857142857</v>
      </c>
      <c r="AS106" t="n">
        <v>12.84142857142857</v>
      </c>
      <c r="AT106" s="5" t="inlineStr">
        <is>
          <t>AUD</t>
        </is>
      </c>
      <c r="AU106" t="inlineStr">
        <is>
          <t>Company Owned</t>
        </is>
      </c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t="n">
        <v>0.0</v>
      </c>
      <c r="BK106"/>
      <c r="BL106"/>
      <c r="BM106"/>
      <c r="BN106"/>
      <c r="BO106"/>
      <c r="BP106"/>
      <c r="BQ106"/>
      <c r="BR106"/>
      <c r="BS106"/>
      <c r="BT106"/>
      <c r="BU106" t="inlineStr">
        <is>
          <t>Yes</t>
        </is>
      </c>
      <c r="BV106"/>
      <c r="BW106"/>
      <c r="BX106"/>
    </row>
    <row r="107">
      <c r="A107" s="5" t="inlineStr">
        <is>
          <t>SERV</t>
        </is>
      </c>
      <c r="B107" s="5" t="inlineStr">
        <is>
          <t>139143</t>
        </is>
      </c>
      <c r="C107" s="5" t="inlineStr">
        <is>
          <t>Connector Port S/S 1/2 X 1/2 Sl</t>
        </is>
      </c>
      <c r="D107" s="5" t="inlineStr">
        <is>
          <t>*</t>
        </is>
      </c>
      <c r="E107" s="5" t="inlineStr">
        <is>
          <t>602-060</t>
        </is>
      </c>
      <c r="F107" s="5" t="inlineStr">
        <is>
          <t>*</t>
        </is>
      </c>
      <c r="G107" s="5" t="inlineStr">
        <is>
          <t>*</t>
        </is>
      </c>
      <c r="H107"/>
      <c r="I107"/>
      <c r="J107" s="5" t="inlineStr">
        <is>
          <t>1</t>
        </is>
      </c>
      <c r="K107" s="5" t="inlineStr">
        <is>
          <t>*</t>
        </is>
      </c>
      <c r="L107" t="n">
        <v>0.0</v>
      </c>
      <c r="M107" s="5" t="inlineStr">
        <is>
          <t>602</t>
        </is>
      </c>
      <c r="N107" s="5" t="inlineStr">
        <is>
          <t xml:space="preserve">  -</t>
        </is>
      </c>
      <c r="O107" s="5" t="inlineStr">
        <is>
          <t xml:space="preserve">  -</t>
        </is>
      </c>
      <c r="P107" s="5" t="inlineStr">
        <is>
          <t xml:space="preserve">  -</t>
        </is>
      </c>
      <c r="Q107" s="5" t="inlineStr">
        <is>
          <t>060</t>
        </is>
      </c>
      <c r="R107"/>
      <c r="S107" t="n">
        <v>2.0</v>
      </c>
      <c r="T107"/>
      <c r="U107" t="n">
        <v>2.0</v>
      </c>
      <c r="V107"/>
      <c r="W107" t="n">
        <v>0.0</v>
      </c>
      <c r="X107" t="n">
        <v>0.0</v>
      </c>
      <c r="Y107" t="n">
        <v>0.0</v>
      </c>
      <c r="Z107"/>
      <c r="AA107" t="n">
        <v>0.0</v>
      </c>
      <c r="AB107"/>
      <c r="AC107" t="n">
        <v>2.0</v>
      </c>
      <c r="AD107" s="5" t="inlineStr">
        <is>
          <t>pcs</t>
        </is>
      </c>
      <c r="AE107"/>
      <c r="AF107" s="5" t="inlineStr">
        <is>
          <t>pcs</t>
        </is>
      </c>
      <c r="AG107"/>
      <c r="AH107" t="inlineStr">
        <is>
          <t>No</t>
        </is>
      </c>
      <c r="AI107" s="2" t="n">
        <v>45841.408784722225</v>
      </c>
      <c r="AJ107" s="1" t="n">
        <f>DATE(2025,7,3)</f>
        <v>0.0</v>
      </c>
      <c r="AK107" t="inlineStr">
        <is>
          <t>Picking</t>
        </is>
      </c>
      <c r="AL107" s="2" t="n">
        <v>43368.30913194444</v>
      </c>
      <c r="AM107"/>
      <c r="AN107"/>
      <c r="AO107" t="n">
        <v>0.0</v>
      </c>
      <c r="AP107" t="n">
        <v>0.0</v>
      </c>
      <c r="AQ107"/>
      <c r="AR107" t="n">
        <v>11.0</v>
      </c>
      <c r="AS107" t="n">
        <v>22.0</v>
      </c>
      <c r="AT107" s="5" t="inlineStr">
        <is>
          <t>AUD</t>
        </is>
      </c>
      <c r="AU107" t="inlineStr">
        <is>
          <t>Company Owned</t>
        </is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t="n">
        <v>0.0</v>
      </c>
      <c r="BK107"/>
      <c r="BL107"/>
      <c r="BM107"/>
      <c r="BN107"/>
      <c r="BO107"/>
      <c r="BP107"/>
      <c r="BQ107"/>
      <c r="BR107"/>
      <c r="BS107"/>
      <c r="BT107"/>
      <c r="BU107" t="inlineStr">
        <is>
          <t>Yes</t>
        </is>
      </c>
      <c r="BV107"/>
      <c r="BW107"/>
      <c r="BX107"/>
    </row>
    <row r="108">
      <c r="A108" s="5" t="inlineStr">
        <is>
          <t>SERV</t>
        </is>
      </c>
      <c r="B108" s="5" t="inlineStr">
        <is>
          <t>139145</t>
        </is>
      </c>
      <c r="C108" s="5" t="inlineStr">
        <is>
          <t>Union S/S 3/4 Sl X 1/2 F</t>
        </is>
      </c>
      <c r="D108" s="5" t="inlineStr">
        <is>
          <t>*</t>
        </is>
      </c>
      <c r="E108" s="5" t="inlineStr">
        <is>
          <t>602-060</t>
        </is>
      </c>
      <c r="F108" s="5" t="inlineStr">
        <is>
          <t>*</t>
        </is>
      </c>
      <c r="G108" s="5" t="inlineStr">
        <is>
          <t>*</t>
        </is>
      </c>
      <c r="H108"/>
      <c r="I108"/>
      <c r="J108" s="5" t="inlineStr">
        <is>
          <t>1</t>
        </is>
      </c>
      <c r="K108" s="5" t="inlineStr">
        <is>
          <t>*</t>
        </is>
      </c>
      <c r="L108" t="n">
        <v>0.0</v>
      </c>
      <c r="M108" s="5" t="inlineStr">
        <is>
          <t>602</t>
        </is>
      </c>
      <c r="N108" s="5" t="inlineStr">
        <is>
          <t xml:space="preserve">  -</t>
        </is>
      </c>
      <c r="O108" s="5" t="inlineStr">
        <is>
          <t xml:space="preserve">  -</t>
        </is>
      </c>
      <c r="P108" s="5" t="inlineStr">
        <is>
          <t xml:space="preserve">  -</t>
        </is>
      </c>
      <c r="Q108" s="5" t="inlineStr">
        <is>
          <t>060</t>
        </is>
      </c>
      <c r="R108"/>
      <c r="S108" t="n">
        <v>2.0</v>
      </c>
      <c r="T108"/>
      <c r="U108" t="n">
        <v>2.0</v>
      </c>
      <c r="V108"/>
      <c r="W108" t="n">
        <v>0.0</v>
      </c>
      <c r="X108" t="n">
        <v>0.0</v>
      </c>
      <c r="Y108" t="n">
        <v>0.0</v>
      </c>
      <c r="Z108"/>
      <c r="AA108" t="n">
        <v>0.0</v>
      </c>
      <c r="AB108"/>
      <c r="AC108" t="n">
        <v>2.0</v>
      </c>
      <c r="AD108" s="5" t="inlineStr">
        <is>
          <t>pcs</t>
        </is>
      </c>
      <c r="AE108"/>
      <c r="AF108" s="5" t="inlineStr">
        <is>
          <t>pcs</t>
        </is>
      </c>
      <c r="AG108"/>
      <c r="AH108" t="inlineStr">
        <is>
          <t>No</t>
        </is>
      </c>
      <c r="AI108" s="2" t="n">
        <v>45841.408784722225</v>
      </c>
      <c r="AJ108" s="1" t="n">
        <f>DATE(2025,7,3)</f>
        <v>0.0</v>
      </c>
      <c r="AK108" t="inlineStr">
        <is>
          <t>Picking</t>
        </is>
      </c>
      <c r="AL108" s="2" t="n">
        <v>42983.58594907408</v>
      </c>
      <c r="AM108"/>
      <c r="AN108"/>
      <c r="AO108" t="n">
        <v>0.0</v>
      </c>
      <c r="AP108" t="n">
        <v>0.0</v>
      </c>
      <c r="AQ108"/>
      <c r="AR108" t="n">
        <v>27.0</v>
      </c>
      <c r="AS108" t="n">
        <v>54.0</v>
      </c>
      <c r="AT108" s="5" t="inlineStr">
        <is>
          <t>AUD</t>
        </is>
      </c>
      <c r="AU108" t="inlineStr">
        <is>
          <t>Company Owned</t>
        </is>
      </c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t="n">
        <v>0.0</v>
      </c>
      <c r="BK108"/>
      <c r="BL108"/>
      <c r="BM108"/>
      <c r="BN108"/>
      <c r="BO108"/>
      <c r="BP108"/>
      <c r="BQ108"/>
      <c r="BR108"/>
      <c r="BS108"/>
      <c r="BT108"/>
      <c r="BU108" t="inlineStr">
        <is>
          <t>Yes</t>
        </is>
      </c>
      <c r="BV108"/>
      <c r="BW108"/>
      <c r="BX108"/>
    </row>
    <row r="109">
      <c r="A109" s="5" t="inlineStr">
        <is>
          <t>SERV</t>
        </is>
      </c>
      <c r="B109" s="5" t="inlineStr">
        <is>
          <t>139146</t>
        </is>
      </c>
      <c r="C109" s="5" t="inlineStr">
        <is>
          <t>Tee S/S Running 1/2 Sl X 1/2 M</t>
        </is>
      </c>
      <c r="D109" s="5" t="inlineStr">
        <is>
          <t>*</t>
        </is>
      </c>
      <c r="E109" s="5" t="inlineStr">
        <is>
          <t>602-060</t>
        </is>
      </c>
      <c r="F109" s="5" t="inlineStr">
        <is>
          <t>*</t>
        </is>
      </c>
      <c r="G109" s="5" t="inlineStr">
        <is>
          <t>*</t>
        </is>
      </c>
      <c r="H109"/>
      <c r="I109"/>
      <c r="J109" s="5" t="inlineStr">
        <is>
          <t>1</t>
        </is>
      </c>
      <c r="K109" s="5" t="inlineStr">
        <is>
          <t>*</t>
        </is>
      </c>
      <c r="L109" t="n">
        <v>0.0</v>
      </c>
      <c r="M109" s="5" t="inlineStr">
        <is>
          <t>602</t>
        </is>
      </c>
      <c r="N109" s="5" t="inlineStr">
        <is>
          <t xml:space="preserve">  -</t>
        </is>
      </c>
      <c r="O109" s="5" t="inlineStr">
        <is>
          <t xml:space="preserve">  -</t>
        </is>
      </c>
      <c r="P109" s="5" t="inlineStr">
        <is>
          <t xml:space="preserve">  -</t>
        </is>
      </c>
      <c r="Q109" s="5" t="inlineStr">
        <is>
          <t>060</t>
        </is>
      </c>
      <c r="R109"/>
      <c r="S109" t="n">
        <v>1.0</v>
      </c>
      <c r="T109"/>
      <c r="U109" t="n">
        <v>1.0</v>
      </c>
      <c r="V109"/>
      <c r="W109" t="n">
        <v>0.0</v>
      </c>
      <c r="X109" t="n">
        <v>0.0</v>
      </c>
      <c r="Y109" t="n">
        <v>0.0</v>
      </c>
      <c r="Z109"/>
      <c r="AA109" t="n">
        <v>0.0</v>
      </c>
      <c r="AB109"/>
      <c r="AC109" t="n">
        <v>1.0</v>
      </c>
      <c r="AD109" s="5" t="inlineStr">
        <is>
          <t>pcs</t>
        </is>
      </c>
      <c r="AE109"/>
      <c r="AF109" s="5" t="inlineStr">
        <is>
          <t>pcs</t>
        </is>
      </c>
      <c r="AG109"/>
      <c r="AH109" t="inlineStr">
        <is>
          <t>No</t>
        </is>
      </c>
      <c r="AI109" s="2" t="n">
        <v>45841.408784722225</v>
      </c>
      <c r="AJ109" s="1" t="n">
        <f>DATE(2025,7,3)</f>
        <v>0.0</v>
      </c>
      <c r="AK109" t="inlineStr">
        <is>
          <t>Picking</t>
        </is>
      </c>
      <c r="AL109" s="2" t="n">
        <v>43214.495671296296</v>
      </c>
      <c r="AM109"/>
      <c r="AN109"/>
      <c r="AO109" t="n">
        <v>0.0</v>
      </c>
      <c r="AP109" t="n">
        <v>0.0</v>
      </c>
      <c r="AQ109"/>
      <c r="AR109" t="n">
        <v>43.5</v>
      </c>
      <c r="AS109" t="n">
        <v>43.5</v>
      </c>
      <c r="AT109" s="5" t="inlineStr">
        <is>
          <t>AUD</t>
        </is>
      </c>
      <c r="AU109" t="inlineStr">
        <is>
          <t>Company Owned</t>
        </is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t="n">
        <v>0.0</v>
      </c>
      <c r="BK109"/>
      <c r="BL109"/>
      <c r="BM109"/>
      <c r="BN109"/>
      <c r="BO109"/>
      <c r="BP109"/>
      <c r="BQ109"/>
      <c r="BR109"/>
      <c r="BS109"/>
      <c r="BT109"/>
      <c r="BU109" t="inlineStr">
        <is>
          <t>Yes</t>
        </is>
      </c>
      <c r="BV109"/>
      <c r="BW109"/>
      <c r="BX109"/>
    </row>
    <row r="110">
      <c r="A110" s="5" t="inlineStr">
        <is>
          <t>SERV</t>
        </is>
      </c>
      <c r="B110" s="5" t="inlineStr">
        <is>
          <t>139150</t>
        </is>
      </c>
      <c r="C110" s="5" t="inlineStr">
        <is>
          <t>Tee S/S 1/2 Sl</t>
        </is>
      </c>
      <c r="D110" s="5" t="inlineStr">
        <is>
          <t>*</t>
        </is>
      </c>
      <c r="E110" s="5" t="inlineStr">
        <is>
          <t>602-022</t>
        </is>
      </c>
      <c r="F110" s="5" t="inlineStr">
        <is>
          <t>*</t>
        </is>
      </c>
      <c r="G110" s="5" t="inlineStr">
        <is>
          <t>*</t>
        </is>
      </c>
      <c r="H110"/>
      <c r="I110"/>
      <c r="J110" s="5" t="inlineStr">
        <is>
          <t>1</t>
        </is>
      </c>
      <c r="K110" s="5" t="inlineStr">
        <is>
          <t>*</t>
        </is>
      </c>
      <c r="L110" t="n">
        <v>0.0</v>
      </c>
      <c r="M110" s="5" t="inlineStr">
        <is>
          <t>602</t>
        </is>
      </c>
      <c r="N110" s="5" t="inlineStr">
        <is>
          <t xml:space="preserve">  -</t>
        </is>
      </c>
      <c r="O110" s="5" t="inlineStr">
        <is>
          <t xml:space="preserve">  -</t>
        </is>
      </c>
      <c r="P110" s="5" t="inlineStr">
        <is>
          <t xml:space="preserve">  -</t>
        </is>
      </c>
      <c r="Q110" s="5" t="inlineStr">
        <is>
          <t>022</t>
        </is>
      </c>
      <c r="R110"/>
      <c r="S110" t="n">
        <v>1.0</v>
      </c>
      <c r="T110"/>
      <c r="U110" t="n">
        <v>1.0</v>
      </c>
      <c r="V110"/>
      <c r="W110" t="n">
        <v>0.0</v>
      </c>
      <c r="X110" t="n">
        <v>0.0</v>
      </c>
      <c r="Y110" t="n">
        <v>0.0</v>
      </c>
      <c r="Z110"/>
      <c r="AA110" t="n">
        <v>0.0</v>
      </c>
      <c r="AB110"/>
      <c r="AC110" t="n">
        <v>1.0</v>
      </c>
      <c r="AD110" s="5" t="inlineStr">
        <is>
          <t>pcs</t>
        </is>
      </c>
      <c r="AE110"/>
      <c r="AF110" s="5" t="inlineStr">
        <is>
          <t>pcs</t>
        </is>
      </c>
      <c r="AG110"/>
      <c r="AH110" t="inlineStr">
        <is>
          <t>No</t>
        </is>
      </c>
      <c r="AI110" s="2" t="n">
        <v>46002.43846064815</v>
      </c>
      <c r="AJ110" s="1" t="n">
        <f>DATE(2025,7,3)</f>
        <v>0.0</v>
      </c>
      <c r="AK110" t="inlineStr">
        <is>
          <t>Picking</t>
        </is>
      </c>
      <c r="AL110" s="2" t="n">
        <v>45995.49383101852</v>
      </c>
      <c r="AM110"/>
      <c r="AN110"/>
      <c r="AO110" t="n">
        <v>0.0</v>
      </c>
      <c r="AP110" t="n">
        <v>-4.0</v>
      </c>
      <c r="AQ110"/>
      <c r="AR110" t="n">
        <v>40.032296674518896</v>
      </c>
      <c r="AS110" t="n">
        <v>40.032296674518896</v>
      </c>
      <c r="AT110" s="5" t="inlineStr">
        <is>
          <t>AUD</t>
        </is>
      </c>
      <c r="AU110" t="inlineStr">
        <is>
          <t>Company Owned</t>
        </is>
      </c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t="n">
        <v>0.0</v>
      </c>
      <c r="BK110"/>
      <c r="BL110"/>
      <c r="BM110"/>
      <c r="BN110"/>
      <c r="BO110"/>
      <c r="BP110"/>
      <c r="BQ110"/>
      <c r="BR110"/>
      <c r="BS110"/>
      <c r="BT110"/>
      <c r="BU110" t="inlineStr">
        <is>
          <t>Yes</t>
        </is>
      </c>
      <c r="BV110"/>
      <c r="BW110"/>
      <c r="BX110"/>
    </row>
    <row r="111">
      <c r="A111" s="5" t="inlineStr">
        <is>
          <t>SERV</t>
        </is>
      </c>
      <c r="B111" s="5" t="inlineStr">
        <is>
          <t>139154</t>
        </is>
      </c>
      <c r="C111" s="5" t="inlineStr">
        <is>
          <t>Elbow S/S 1/4 Sl X 1/4 M</t>
        </is>
      </c>
      <c r="D111" s="5" t="inlineStr">
        <is>
          <t>*</t>
        </is>
      </c>
      <c r="E111" s="5" t="inlineStr">
        <is>
          <t>602-022</t>
        </is>
      </c>
      <c r="F111" s="5" t="inlineStr">
        <is>
          <t>*</t>
        </is>
      </c>
      <c r="G111" s="5" t="inlineStr">
        <is>
          <t>*</t>
        </is>
      </c>
      <c r="H111"/>
      <c r="I111"/>
      <c r="J111" s="5" t="inlineStr">
        <is>
          <t>1</t>
        </is>
      </c>
      <c r="K111" s="5" t="inlineStr">
        <is>
          <t>*</t>
        </is>
      </c>
      <c r="L111" t="n">
        <v>0.0</v>
      </c>
      <c r="M111" s="5" t="inlineStr">
        <is>
          <t>602</t>
        </is>
      </c>
      <c r="N111" s="5" t="inlineStr">
        <is>
          <t xml:space="preserve">  -</t>
        </is>
      </c>
      <c r="O111" s="5" t="inlineStr">
        <is>
          <t xml:space="preserve">  -</t>
        </is>
      </c>
      <c r="P111" s="5" t="inlineStr">
        <is>
          <t xml:space="preserve">  -</t>
        </is>
      </c>
      <c r="Q111" s="5" t="inlineStr">
        <is>
          <t>022</t>
        </is>
      </c>
      <c r="R111"/>
      <c r="S111" t="n">
        <v>2.0</v>
      </c>
      <c r="T111"/>
      <c r="U111" t="n">
        <v>2.0</v>
      </c>
      <c r="V111"/>
      <c r="W111" t="n">
        <v>0.0</v>
      </c>
      <c r="X111" t="n">
        <v>0.0</v>
      </c>
      <c r="Y111" t="n">
        <v>0.0</v>
      </c>
      <c r="Z111"/>
      <c r="AA111" t="n">
        <v>0.0</v>
      </c>
      <c r="AB111"/>
      <c r="AC111" t="n">
        <v>2.0</v>
      </c>
      <c r="AD111" s="5" t="inlineStr">
        <is>
          <t>pcs</t>
        </is>
      </c>
      <c r="AE111"/>
      <c r="AF111" s="5" t="inlineStr">
        <is>
          <t>pcs</t>
        </is>
      </c>
      <c r="AG111"/>
      <c r="AH111" t="inlineStr">
        <is>
          <t>No</t>
        </is>
      </c>
      <c r="AI111" s="2" t="n">
        <v>45841.40875</v>
      </c>
      <c r="AJ111" s="1" t="n">
        <f>DATE(2025,7,3)</f>
        <v>0.0</v>
      </c>
      <c r="AK111" t="inlineStr">
        <is>
          <t>Picking</t>
        </is>
      </c>
      <c r="AL111" s="2" t="n">
        <v>41939.374918981484</v>
      </c>
      <c r="AM111"/>
      <c r="AN111"/>
      <c r="AO111" t="n">
        <v>0.0</v>
      </c>
      <c r="AP111" t="n">
        <v>0.0</v>
      </c>
      <c r="AQ111"/>
      <c r="AR111" t="n">
        <v>12.499986027648026</v>
      </c>
      <c r="AS111" t="n">
        <v>24.999972055296052</v>
      </c>
      <c r="AT111" s="5" t="inlineStr">
        <is>
          <t>AUD</t>
        </is>
      </c>
      <c r="AU111" t="inlineStr">
        <is>
          <t>Company Owned</t>
        </is>
      </c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t="n">
        <v>0.0</v>
      </c>
      <c r="BK111"/>
      <c r="BL111"/>
      <c r="BM111"/>
      <c r="BN111"/>
      <c r="BO111"/>
      <c r="BP111"/>
      <c r="BQ111"/>
      <c r="BR111"/>
      <c r="BS111"/>
      <c r="BT111"/>
      <c r="BU111" t="inlineStr">
        <is>
          <t>Yes</t>
        </is>
      </c>
      <c r="BV111"/>
      <c r="BW111"/>
      <c r="BX111"/>
    </row>
    <row r="112">
      <c r="A112" s="5" t="inlineStr">
        <is>
          <t>SERV</t>
        </is>
      </c>
      <c r="B112" s="5" t="inlineStr">
        <is>
          <t>139158</t>
        </is>
      </c>
      <c r="C112" s="5" t="inlineStr">
        <is>
          <t>Adapter S/S 1/2 Tube X 3/8 M</t>
        </is>
      </c>
      <c r="D112" s="5" t="inlineStr">
        <is>
          <t>*</t>
        </is>
      </c>
      <c r="E112" s="5" t="inlineStr">
        <is>
          <t>602-022</t>
        </is>
      </c>
      <c r="F112" s="5" t="inlineStr">
        <is>
          <t>*</t>
        </is>
      </c>
      <c r="G112" s="5" t="inlineStr">
        <is>
          <t>*</t>
        </is>
      </c>
      <c r="H112"/>
      <c r="I112"/>
      <c r="J112" s="5" t="inlineStr">
        <is>
          <t>1</t>
        </is>
      </c>
      <c r="K112" s="5" t="inlineStr">
        <is>
          <t>*</t>
        </is>
      </c>
      <c r="L112" t="n">
        <v>0.0</v>
      </c>
      <c r="M112" s="5" t="inlineStr">
        <is>
          <t>602</t>
        </is>
      </c>
      <c r="N112" s="5" t="inlineStr">
        <is>
          <t xml:space="preserve">  -</t>
        </is>
      </c>
      <c r="O112" s="5" t="inlineStr">
        <is>
          <t xml:space="preserve">  -</t>
        </is>
      </c>
      <c r="P112" s="5" t="inlineStr">
        <is>
          <t xml:space="preserve">  -</t>
        </is>
      </c>
      <c r="Q112" s="5" t="inlineStr">
        <is>
          <t>022</t>
        </is>
      </c>
      <c r="R112"/>
      <c r="S112" t="n">
        <v>1.0</v>
      </c>
      <c r="T112"/>
      <c r="U112" t="n">
        <v>1.0</v>
      </c>
      <c r="V112"/>
      <c r="W112" t="n">
        <v>0.0</v>
      </c>
      <c r="X112" t="n">
        <v>0.0</v>
      </c>
      <c r="Y112" t="n">
        <v>0.0</v>
      </c>
      <c r="Z112"/>
      <c r="AA112" t="n">
        <v>0.0</v>
      </c>
      <c r="AB112"/>
      <c r="AC112" t="n">
        <v>1.0</v>
      </c>
      <c r="AD112" s="5" t="inlineStr">
        <is>
          <t>pcs</t>
        </is>
      </c>
      <c r="AE112"/>
      <c r="AF112" s="5" t="inlineStr">
        <is>
          <t>pcs</t>
        </is>
      </c>
      <c r="AG112"/>
      <c r="AH112" t="inlineStr">
        <is>
          <t>No</t>
        </is>
      </c>
      <c r="AI112" s="2" t="n">
        <v>45841.40876157407</v>
      </c>
      <c r="AJ112" s="1" t="n">
        <f>DATE(2025,7,3)</f>
        <v>0.0</v>
      </c>
      <c r="AK112" t="inlineStr">
        <is>
          <t>Picking</t>
        </is>
      </c>
      <c r="AL112" s="2" t="n">
        <v>41794.367627314816</v>
      </c>
      <c r="AM112"/>
      <c r="AN112"/>
      <c r="AO112" t="n">
        <v>0.0</v>
      </c>
      <c r="AP112" t="n">
        <v>0.0</v>
      </c>
      <c r="AQ112"/>
      <c r="AR112" t="n">
        <v>10.583333333333334</v>
      </c>
      <c r="AS112" t="n">
        <v>10.583333333333334</v>
      </c>
      <c r="AT112" s="5" t="inlineStr">
        <is>
          <t>AUD</t>
        </is>
      </c>
      <c r="AU112" t="inlineStr">
        <is>
          <t>Company Owned</t>
        </is>
      </c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t="n">
        <v>0.0</v>
      </c>
      <c r="BK112"/>
      <c r="BL112"/>
      <c r="BM112"/>
      <c r="BN112"/>
      <c r="BO112"/>
      <c r="BP112"/>
      <c r="BQ112"/>
      <c r="BR112"/>
      <c r="BS112"/>
      <c r="BT112"/>
      <c r="BU112" t="inlineStr">
        <is>
          <t>Yes</t>
        </is>
      </c>
      <c r="BV112"/>
      <c r="BW112"/>
      <c r="BX112"/>
    </row>
    <row r="113">
      <c r="A113" s="5" t="inlineStr">
        <is>
          <t>SERV</t>
        </is>
      </c>
      <c r="B113" s="5" t="inlineStr">
        <is>
          <t>138593</t>
        </is>
      </c>
      <c r="C113" s="5" t="inlineStr">
        <is>
          <t>Rtd 80 X 6 S/S Tangent Drain &amp; Jacket</t>
        </is>
      </c>
      <c r="D113" s="5" t="inlineStr">
        <is>
          <t>*</t>
        </is>
      </c>
      <c r="E113" s="5" t="inlineStr">
        <is>
          <t>602-004</t>
        </is>
      </c>
      <c r="F113" s="5" t="inlineStr">
        <is>
          <t>*</t>
        </is>
      </c>
      <c r="G113" s="5" t="inlineStr">
        <is>
          <t>*</t>
        </is>
      </c>
      <c r="H113"/>
      <c r="I113"/>
      <c r="J113" s="5" t="inlineStr">
        <is>
          <t>0</t>
        </is>
      </c>
      <c r="K113" s="5" t="inlineStr">
        <is>
          <t>*</t>
        </is>
      </c>
      <c r="L113" t="n">
        <v>0.0</v>
      </c>
      <c r="M113" s="5" t="inlineStr">
        <is>
          <t>602</t>
        </is>
      </c>
      <c r="N113" s="5" t="inlineStr">
        <is>
          <t xml:space="preserve">  -</t>
        </is>
      </c>
      <c r="O113" s="5" t="inlineStr">
        <is>
          <t xml:space="preserve">  -</t>
        </is>
      </c>
      <c r="P113" s="5" t="inlineStr">
        <is>
          <t xml:space="preserve">  -</t>
        </is>
      </c>
      <c r="Q113" s="5" t="inlineStr">
        <is>
          <t>004</t>
        </is>
      </c>
      <c r="R113"/>
      <c r="S113" t="n">
        <v>1.0</v>
      </c>
      <c r="T113"/>
      <c r="U113" t="n">
        <v>1.0</v>
      </c>
      <c r="V113"/>
      <c r="W113" t="n">
        <v>0.0</v>
      </c>
      <c r="X113" t="n">
        <v>0.0</v>
      </c>
      <c r="Y113" t="n">
        <v>0.0</v>
      </c>
      <c r="Z113"/>
      <c r="AA113" t="n">
        <v>0.0</v>
      </c>
      <c r="AB113"/>
      <c r="AC113" t="n">
        <v>1.0</v>
      </c>
      <c r="AD113" s="5" t="inlineStr">
        <is>
          <t>pcs</t>
        </is>
      </c>
      <c r="AE113"/>
      <c r="AF113" s="5" t="inlineStr">
        <is>
          <t>pcs</t>
        </is>
      </c>
      <c r="AG113"/>
      <c r="AH113" t="inlineStr">
        <is>
          <t>No</t>
        </is>
      </c>
      <c r="AI113" s="2" t="n">
        <v>45841.40871527778</v>
      </c>
      <c r="AJ113" s="1" t="n">
        <f>DATE(2025,7,3)</f>
        <v>0.0</v>
      </c>
      <c r="AK113" t="inlineStr">
        <is>
          <t>Picking</t>
        </is>
      </c>
      <c r="AL113" s="2" t="n">
        <v>41183.44100694444</v>
      </c>
      <c r="AM113"/>
      <c r="AN113"/>
      <c r="AO113" t="n">
        <v>0.0</v>
      </c>
      <c r="AP113" t="n">
        <v>0.0</v>
      </c>
      <c r="AQ113"/>
      <c r="AR113" t="n">
        <v>80.01440656426685</v>
      </c>
      <c r="AS113" t="n">
        <v>80.01440656426685</v>
      </c>
      <c r="AT113" s="5" t="inlineStr">
        <is>
          <t>AUD</t>
        </is>
      </c>
      <c r="AU113" t="inlineStr">
        <is>
          <t>Company Owned</t>
        </is>
      </c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t="n">
        <v>0.0</v>
      </c>
      <c r="BK113"/>
      <c r="BL113"/>
      <c r="BM113"/>
      <c r="BN113"/>
      <c r="BO113"/>
      <c r="BP113"/>
      <c r="BQ113"/>
      <c r="BR113"/>
      <c r="BS113"/>
      <c r="BT113"/>
      <c r="BU113" t="inlineStr">
        <is>
          <t>Yes</t>
        </is>
      </c>
      <c r="BV113"/>
      <c r="BW113"/>
      <c r="BX113"/>
    </row>
    <row r="114">
      <c r="A114" s="5" t="inlineStr">
        <is>
          <t>SERV</t>
        </is>
      </c>
      <c r="B114" s="5" t="inlineStr">
        <is>
          <t>139167</t>
        </is>
      </c>
      <c r="C114" s="5" t="inlineStr">
        <is>
          <t>Plug S/S 3/8 Hex Head</t>
        </is>
      </c>
      <c r="D114" s="5" t="inlineStr">
        <is>
          <t>*</t>
        </is>
      </c>
      <c r="E114" s="5" t="inlineStr">
        <is>
          <t>602-022</t>
        </is>
      </c>
      <c r="F114" s="5" t="inlineStr">
        <is>
          <t>*</t>
        </is>
      </c>
      <c r="G114" s="5" t="inlineStr">
        <is>
          <t>*</t>
        </is>
      </c>
      <c r="H114"/>
      <c r="I114"/>
      <c r="J114" s="5" t="inlineStr">
        <is>
          <t>1</t>
        </is>
      </c>
      <c r="K114" s="5" t="inlineStr">
        <is>
          <t>*</t>
        </is>
      </c>
      <c r="L114" t="n">
        <v>0.0</v>
      </c>
      <c r="M114" s="5" t="inlineStr">
        <is>
          <t>602</t>
        </is>
      </c>
      <c r="N114" s="5" t="inlineStr">
        <is>
          <t xml:space="preserve">  -</t>
        </is>
      </c>
      <c r="O114" s="5" t="inlineStr">
        <is>
          <t xml:space="preserve">  -</t>
        </is>
      </c>
      <c r="P114" s="5" t="inlineStr">
        <is>
          <t xml:space="preserve">  -</t>
        </is>
      </c>
      <c r="Q114" s="5" t="inlineStr">
        <is>
          <t>022</t>
        </is>
      </c>
      <c r="R114"/>
      <c r="S114" t="n">
        <v>4.0</v>
      </c>
      <c r="T114"/>
      <c r="U114" t="n">
        <v>4.0</v>
      </c>
      <c r="V114"/>
      <c r="W114" t="n">
        <v>0.0</v>
      </c>
      <c r="X114" t="n">
        <v>0.0</v>
      </c>
      <c r="Y114" t="n">
        <v>0.0</v>
      </c>
      <c r="Z114"/>
      <c r="AA114" t="n">
        <v>0.0</v>
      </c>
      <c r="AB114"/>
      <c r="AC114" t="n">
        <v>4.0</v>
      </c>
      <c r="AD114" s="5" t="inlineStr">
        <is>
          <t>pcs</t>
        </is>
      </c>
      <c r="AE114"/>
      <c r="AF114" s="5" t="inlineStr">
        <is>
          <t>pcs</t>
        </is>
      </c>
      <c r="AG114"/>
      <c r="AH114" t="inlineStr">
        <is>
          <t>No</t>
        </is>
      </c>
      <c r="AI114" s="2" t="n">
        <v>45841.40876157407</v>
      </c>
      <c r="AJ114" s="1" t="n">
        <f>DATE(2025,7,3)</f>
        <v>0.0</v>
      </c>
      <c r="AK114" t="inlineStr">
        <is>
          <t>Picking</t>
        </is>
      </c>
      <c r="AL114" s="2" t="n">
        <v>42478.49353009259</v>
      </c>
      <c r="AM114"/>
      <c r="AN114"/>
      <c r="AO114" t="n">
        <v>0.0</v>
      </c>
      <c r="AP114" t="n">
        <v>0.0</v>
      </c>
      <c r="AQ114"/>
      <c r="AR114" t="n">
        <v>5.387418300653595</v>
      </c>
      <c r="AS114" t="n">
        <v>21.54967320261438</v>
      </c>
      <c r="AT114" s="5" t="inlineStr">
        <is>
          <t>AUD</t>
        </is>
      </c>
      <c r="AU114" t="inlineStr">
        <is>
          <t>Company Owned</t>
        </is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t="n">
        <v>0.0</v>
      </c>
      <c r="BK114"/>
      <c r="BL114"/>
      <c r="BM114"/>
      <c r="BN114"/>
      <c r="BO114"/>
      <c r="BP114"/>
      <c r="BQ114"/>
      <c r="BR114"/>
      <c r="BS114"/>
      <c r="BT114"/>
      <c r="BU114" t="inlineStr">
        <is>
          <t>Yes</t>
        </is>
      </c>
      <c r="BV114"/>
      <c r="BW114"/>
      <c r="BX114"/>
    </row>
    <row r="115">
      <c r="A115" s="5" t="inlineStr">
        <is>
          <t>SERV</t>
        </is>
      </c>
      <c r="B115" s="5" t="inlineStr">
        <is>
          <t>139171</t>
        </is>
      </c>
      <c r="C115" s="5" t="inlineStr">
        <is>
          <t>Elbow S/S 3/4 Sl X 3/4 Sl</t>
        </is>
      </c>
      <c r="D115" s="5" t="inlineStr">
        <is>
          <t>*</t>
        </is>
      </c>
      <c r="E115" s="5" t="inlineStr">
        <is>
          <t>602-022</t>
        </is>
      </c>
      <c r="F115" s="5" t="inlineStr">
        <is>
          <t>*</t>
        </is>
      </c>
      <c r="G115" s="5" t="inlineStr">
        <is>
          <t>*</t>
        </is>
      </c>
      <c r="H115"/>
      <c r="I115"/>
      <c r="J115" s="5" t="inlineStr">
        <is>
          <t>1</t>
        </is>
      </c>
      <c r="K115" s="5" t="inlineStr">
        <is>
          <t>*</t>
        </is>
      </c>
      <c r="L115" t="n">
        <v>0.0</v>
      </c>
      <c r="M115" s="5" t="inlineStr">
        <is>
          <t>602</t>
        </is>
      </c>
      <c r="N115" s="5" t="inlineStr">
        <is>
          <t xml:space="preserve">  -</t>
        </is>
      </c>
      <c r="O115" s="5" t="inlineStr">
        <is>
          <t xml:space="preserve">  -</t>
        </is>
      </c>
      <c r="P115" s="5" t="inlineStr">
        <is>
          <t xml:space="preserve">  -</t>
        </is>
      </c>
      <c r="Q115" s="5" t="inlineStr">
        <is>
          <t>022</t>
        </is>
      </c>
      <c r="R115"/>
      <c r="S115" t="n">
        <v>4.0</v>
      </c>
      <c r="T115"/>
      <c r="U115" t="n">
        <v>4.0</v>
      </c>
      <c r="V115"/>
      <c r="W115" t="n">
        <v>0.0</v>
      </c>
      <c r="X115" t="n">
        <v>0.0</v>
      </c>
      <c r="Y115" t="n">
        <v>0.0</v>
      </c>
      <c r="Z115"/>
      <c r="AA115" t="n">
        <v>0.0</v>
      </c>
      <c r="AB115"/>
      <c r="AC115" t="n">
        <v>4.0</v>
      </c>
      <c r="AD115" s="5" t="inlineStr">
        <is>
          <t>pcs</t>
        </is>
      </c>
      <c r="AE115"/>
      <c r="AF115" s="5" t="inlineStr">
        <is>
          <t>pcs</t>
        </is>
      </c>
      <c r="AG115"/>
      <c r="AH115" t="inlineStr">
        <is>
          <t>No</t>
        </is>
      </c>
      <c r="AI115" s="2" t="n">
        <v>45841.40876157407</v>
      </c>
      <c r="AJ115" s="1" t="n">
        <f>DATE(2025,7,3)</f>
        <v>0.0</v>
      </c>
      <c r="AK115" t="inlineStr">
        <is>
          <t>Picking</t>
        </is>
      </c>
      <c r="AL115" s="2" t="n">
        <v>41975.38116898148</v>
      </c>
      <c r="AM115"/>
      <c r="AN115"/>
      <c r="AO115" t="n">
        <v>0.0</v>
      </c>
      <c r="AP115" t="n">
        <v>0.0</v>
      </c>
      <c r="AQ115"/>
      <c r="AR115" t="n">
        <v>51.5</v>
      </c>
      <c r="AS115" t="n">
        <v>206.0</v>
      </c>
      <c r="AT115" s="5" t="inlineStr">
        <is>
          <t>AUD</t>
        </is>
      </c>
      <c r="AU115" t="inlineStr">
        <is>
          <t>Company Owned</t>
        </is>
      </c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t="n">
        <v>0.0</v>
      </c>
      <c r="BK115"/>
      <c r="BL115"/>
      <c r="BM115"/>
      <c r="BN115"/>
      <c r="BO115"/>
      <c r="BP115"/>
      <c r="BQ115"/>
      <c r="BR115"/>
      <c r="BS115"/>
      <c r="BT115"/>
      <c r="BU115" t="inlineStr">
        <is>
          <t>Yes</t>
        </is>
      </c>
      <c r="BV115"/>
      <c r="BW115"/>
      <c r="BX115"/>
    </row>
    <row r="116">
      <c r="A116" s="5" t="inlineStr">
        <is>
          <t>SERV</t>
        </is>
      </c>
      <c r="B116" s="5" t="inlineStr">
        <is>
          <t>830825</t>
        </is>
      </c>
      <c r="C116" s="5" t="inlineStr">
        <is>
          <t>Ferrule Brass 1/4 Hylok</t>
        </is>
      </c>
      <c r="D116" s="5" t="inlineStr">
        <is>
          <t>*</t>
        </is>
      </c>
      <c r="E116" s="5" t="inlineStr">
        <is>
          <t>602-022</t>
        </is>
      </c>
      <c r="F116" s="5" t="inlineStr">
        <is>
          <t>*</t>
        </is>
      </c>
      <c r="G116" s="5" t="inlineStr">
        <is>
          <t>*</t>
        </is>
      </c>
      <c r="H116"/>
      <c r="I116"/>
      <c r="J116" s="5" t="inlineStr">
        <is>
          <t>0</t>
        </is>
      </c>
      <c r="K116" s="5" t="inlineStr">
        <is>
          <t>*</t>
        </is>
      </c>
      <c r="L116" t="n">
        <v>0.0</v>
      </c>
      <c r="M116" s="5" t="inlineStr">
        <is>
          <t>602</t>
        </is>
      </c>
      <c r="N116" s="5" t="inlineStr">
        <is>
          <t xml:space="preserve">  -</t>
        </is>
      </c>
      <c r="O116" s="5" t="inlineStr">
        <is>
          <t xml:space="preserve">  -</t>
        </is>
      </c>
      <c r="P116" s="5" t="inlineStr">
        <is>
          <t xml:space="preserve">  -</t>
        </is>
      </c>
      <c r="Q116" s="5" t="inlineStr">
        <is>
          <t>022</t>
        </is>
      </c>
      <c r="R116"/>
      <c r="S116" t="n">
        <v>2.0</v>
      </c>
      <c r="T116"/>
      <c r="U116" t="n">
        <v>2.0</v>
      </c>
      <c r="V116"/>
      <c r="W116" t="n">
        <v>0.0</v>
      </c>
      <c r="X116" t="n">
        <v>0.0</v>
      </c>
      <c r="Y116" t="n">
        <v>0.0</v>
      </c>
      <c r="Z116"/>
      <c r="AA116" t="n">
        <v>0.0</v>
      </c>
      <c r="AB116"/>
      <c r="AC116" t="n">
        <v>2.0</v>
      </c>
      <c r="AD116" s="5" t="inlineStr">
        <is>
          <t>pcs</t>
        </is>
      </c>
      <c r="AE116"/>
      <c r="AF116" s="5" t="inlineStr">
        <is>
          <t>pcs</t>
        </is>
      </c>
      <c r="AG116"/>
      <c r="AH116" t="inlineStr">
        <is>
          <t>No</t>
        </is>
      </c>
      <c r="AI116" s="2" t="n">
        <v>45841.40876157407</v>
      </c>
      <c r="AJ116" s="1" t="n">
        <f>DATE(2025,7,3)</f>
        <v>0.0</v>
      </c>
      <c r="AK116" t="inlineStr">
        <is>
          <t>Picking</t>
        </is>
      </c>
      <c r="AL116" s="2" t="n">
        <v>42543.35833333333</v>
      </c>
      <c r="AM116"/>
      <c r="AN116"/>
      <c r="AO116" t="n">
        <v>0.0</v>
      </c>
      <c r="AP116" t="n">
        <v>0.0</v>
      </c>
      <c r="AQ116"/>
      <c r="AR116" t="n">
        <v>1.1706221682194096</v>
      </c>
      <c r="AS116" t="n">
        <v>2.341244336438819</v>
      </c>
      <c r="AT116" s="5" t="inlineStr">
        <is>
          <t>AUD</t>
        </is>
      </c>
      <c r="AU116" t="inlineStr">
        <is>
          <t>Company Owned</t>
        </is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t="n">
        <v>0.0</v>
      </c>
      <c r="BK116"/>
      <c r="BL116"/>
      <c r="BM116"/>
      <c r="BN116"/>
      <c r="BO116"/>
      <c r="BP116"/>
      <c r="BQ116"/>
      <c r="BR116"/>
      <c r="BS116"/>
      <c r="BT116"/>
      <c r="BU116" t="inlineStr">
        <is>
          <t>Yes</t>
        </is>
      </c>
      <c r="BV116"/>
      <c r="BW116"/>
      <c r="BX116"/>
    </row>
    <row r="117">
      <c r="A117" s="5" t="inlineStr">
        <is>
          <t>SERV</t>
        </is>
      </c>
      <c r="B117" s="5" t="inlineStr">
        <is>
          <t>830826</t>
        </is>
      </c>
      <c r="C117" s="5" t="inlineStr">
        <is>
          <t>Ferrule Brass 3/8 Hylok</t>
        </is>
      </c>
      <c r="D117" s="5" t="inlineStr">
        <is>
          <t>*</t>
        </is>
      </c>
      <c r="E117" s="5" t="inlineStr">
        <is>
          <t>602-022</t>
        </is>
      </c>
      <c r="F117" s="5" t="inlineStr">
        <is>
          <t>*</t>
        </is>
      </c>
      <c r="G117" s="5" t="inlineStr">
        <is>
          <t>*</t>
        </is>
      </c>
      <c r="H117"/>
      <c r="I117"/>
      <c r="J117" s="5" t="inlineStr">
        <is>
          <t>0</t>
        </is>
      </c>
      <c r="K117" s="5" t="inlineStr">
        <is>
          <t>*</t>
        </is>
      </c>
      <c r="L117" t="n">
        <v>0.0</v>
      </c>
      <c r="M117" s="5" t="inlineStr">
        <is>
          <t>602</t>
        </is>
      </c>
      <c r="N117" s="5" t="inlineStr">
        <is>
          <t xml:space="preserve">  -</t>
        </is>
      </c>
      <c r="O117" s="5" t="inlineStr">
        <is>
          <t xml:space="preserve">  -</t>
        </is>
      </c>
      <c r="P117" s="5" t="inlineStr">
        <is>
          <t xml:space="preserve">  -</t>
        </is>
      </c>
      <c r="Q117" s="5" t="inlineStr">
        <is>
          <t>022</t>
        </is>
      </c>
      <c r="R117"/>
      <c r="S117" t="n">
        <v>20.0</v>
      </c>
      <c r="T117"/>
      <c r="U117" t="n">
        <v>20.0</v>
      </c>
      <c r="V117"/>
      <c r="W117" t="n">
        <v>0.0</v>
      </c>
      <c r="X117" t="n">
        <v>0.0</v>
      </c>
      <c r="Y117" t="n">
        <v>0.0</v>
      </c>
      <c r="Z117"/>
      <c r="AA117" t="n">
        <v>0.0</v>
      </c>
      <c r="AB117"/>
      <c r="AC117" t="n">
        <v>20.0</v>
      </c>
      <c r="AD117" s="5" t="inlineStr">
        <is>
          <t>pcs</t>
        </is>
      </c>
      <c r="AE117"/>
      <c r="AF117" s="5" t="inlineStr">
        <is>
          <t>pcs</t>
        </is>
      </c>
      <c r="AG117"/>
      <c r="AH117" t="inlineStr">
        <is>
          <t>No</t>
        </is>
      </c>
      <c r="AI117" s="2" t="n">
        <v>45841.40876157407</v>
      </c>
      <c r="AJ117" s="1" t="n">
        <f>DATE(2025,7,3)</f>
        <v>0.0</v>
      </c>
      <c r="AK117" t="inlineStr">
        <is>
          <t>Picking</t>
        </is>
      </c>
      <c r="AL117" s="2" t="n">
        <v>41183.44412037037</v>
      </c>
      <c r="AM117"/>
      <c r="AN117"/>
      <c r="AO117" t="n">
        <v>0.0</v>
      </c>
      <c r="AP117" t="n">
        <v>0.0</v>
      </c>
      <c r="AQ117"/>
      <c r="AR117" t="n">
        <v>1.0597413195798335</v>
      </c>
      <c r="AS117" t="n">
        <v>21.194826391596674</v>
      </c>
      <c r="AT117" s="5" t="inlineStr">
        <is>
          <t>AUD</t>
        </is>
      </c>
      <c r="AU117" t="inlineStr">
        <is>
          <t>Company Owned</t>
        </is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t="n">
        <v>0.0</v>
      </c>
      <c r="BK117"/>
      <c r="BL117"/>
      <c r="BM117"/>
      <c r="BN117"/>
      <c r="BO117"/>
      <c r="BP117"/>
      <c r="BQ117"/>
      <c r="BR117"/>
      <c r="BS117"/>
      <c r="BT117"/>
      <c r="BU117" t="inlineStr">
        <is>
          <t>Yes</t>
        </is>
      </c>
      <c r="BV117"/>
      <c r="BW117"/>
      <c r="BX117"/>
    </row>
    <row r="118">
      <c r="A118" s="5" t="inlineStr">
        <is>
          <t>SERV</t>
        </is>
      </c>
      <c r="B118" s="5" t="inlineStr">
        <is>
          <t>830827</t>
        </is>
      </c>
      <c r="C118" s="5" t="inlineStr">
        <is>
          <t>Ferrule Brass 1/2 Hylok</t>
        </is>
      </c>
      <c r="D118" s="5" t="inlineStr">
        <is>
          <t>*</t>
        </is>
      </c>
      <c r="E118" s="5" t="inlineStr">
        <is>
          <t>602-022</t>
        </is>
      </c>
      <c r="F118" s="5" t="inlineStr">
        <is>
          <t>*</t>
        </is>
      </c>
      <c r="G118" s="5" t="inlineStr">
        <is>
          <t>*</t>
        </is>
      </c>
      <c r="H118"/>
      <c r="I118"/>
      <c r="J118" s="5" t="inlineStr">
        <is>
          <t>0</t>
        </is>
      </c>
      <c r="K118" s="5" t="inlineStr">
        <is>
          <t>*</t>
        </is>
      </c>
      <c r="L118" t="n">
        <v>0.0</v>
      </c>
      <c r="M118" s="5" t="inlineStr">
        <is>
          <t>602</t>
        </is>
      </c>
      <c r="N118" s="5" t="inlineStr">
        <is>
          <t xml:space="preserve">  -</t>
        </is>
      </c>
      <c r="O118" s="5" t="inlineStr">
        <is>
          <t xml:space="preserve">  -</t>
        </is>
      </c>
      <c r="P118" s="5" t="inlineStr">
        <is>
          <t xml:space="preserve">  -</t>
        </is>
      </c>
      <c r="Q118" s="5" t="inlineStr">
        <is>
          <t>022</t>
        </is>
      </c>
      <c r="R118"/>
      <c r="S118" t="n">
        <v>7.0</v>
      </c>
      <c r="T118"/>
      <c r="U118" t="n">
        <v>7.0</v>
      </c>
      <c r="V118"/>
      <c r="W118" t="n">
        <v>0.0</v>
      </c>
      <c r="X118" t="n">
        <v>0.0</v>
      </c>
      <c r="Y118" t="n">
        <v>0.0</v>
      </c>
      <c r="Z118"/>
      <c r="AA118" t="n">
        <v>0.0</v>
      </c>
      <c r="AB118"/>
      <c r="AC118" t="n">
        <v>7.0</v>
      </c>
      <c r="AD118" s="5" t="inlineStr">
        <is>
          <t>pcs</t>
        </is>
      </c>
      <c r="AE118"/>
      <c r="AF118" s="5" t="inlineStr">
        <is>
          <t>pcs</t>
        </is>
      </c>
      <c r="AG118"/>
      <c r="AH118" t="inlineStr">
        <is>
          <t>No</t>
        </is>
      </c>
      <c r="AI118" s="2" t="n">
        <v>45841.40876157407</v>
      </c>
      <c r="AJ118" s="1" t="n">
        <f>DATE(2025,7,3)</f>
        <v>0.0</v>
      </c>
      <c r="AK118" t="inlineStr">
        <is>
          <t>Picking</t>
        </is>
      </c>
      <c r="AL118" s="2" t="n">
        <v>43124.298483796294</v>
      </c>
      <c r="AM118"/>
      <c r="AN118"/>
      <c r="AO118" t="n">
        <v>0.0</v>
      </c>
      <c r="AP118" t="n">
        <v>0.0</v>
      </c>
      <c r="AQ118"/>
      <c r="AR118" t="n">
        <v>1.492632544563087</v>
      </c>
      <c r="AS118" t="n">
        <v>10.44842781194161</v>
      </c>
      <c r="AT118" s="5" t="inlineStr">
        <is>
          <t>AUD</t>
        </is>
      </c>
      <c r="AU118" t="inlineStr">
        <is>
          <t>Company Owned</t>
        </is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t="n">
        <v>0.0</v>
      </c>
      <c r="BK118"/>
      <c r="BL118"/>
      <c r="BM118"/>
      <c r="BN118"/>
      <c r="BO118"/>
      <c r="BP118"/>
      <c r="BQ118"/>
      <c r="BR118"/>
      <c r="BS118"/>
      <c r="BT118"/>
      <c r="BU118" t="inlineStr">
        <is>
          <t>Yes</t>
        </is>
      </c>
      <c r="BV118"/>
      <c r="BW118"/>
      <c r="BX118"/>
    </row>
    <row r="119">
      <c r="A119" s="5" t="inlineStr">
        <is>
          <t>SERV</t>
        </is>
      </c>
      <c r="B119" s="5" t="inlineStr">
        <is>
          <t>139198</t>
        </is>
      </c>
      <c r="C119" s="5" t="inlineStr">
        <is>
          <t>Fuse 2 Amp Glass 5 X 20</t>
        </is>
      </c>
      <c r="D119" s="5" t="inlineStr">
        <is>
          <t>*</t>
        </is>
      </c>
      <c r="E119" s="5" t="inlineStr">
        <is>
          <t>602-003</t>
        </is>
      </c>
      <c r="F119" s="5" t="inlineStr">
        <is>
          <t>*</t>
        </is>
      </c>
      <c r="G119" s="5" t="inlineStr">
        <is>
          <t>*</t>
        </is>
      </c>
      <c r="H119"/>
      <c r="I119"/>
      <c r="J119" s="5" t="inlineStr">
        <is>
          <t>0</t>
        </is>
      </c>
      <c r="K119" s="5" t="inlineStr">
        <is>
          <t>*</t>
        </is>
      </c>
      <c r="L119" t="n">
        <v>0.0</v>
      </c>
      <c r="M119" s="5" t="inlineStr">
        <is>
          <t>602</t>
        </is>
      </c>
      <c r="N119" s="5" t="inlineStr">
        <is>
          <t xml:space="preserve">  -</t>
        </is>
      </c>
      <c r="O119" s="5" t="inlineStr">
        <is>
          <t xml:space="preserve">  -</t>
        </is>
      </c>
      <c r="P119" s="5" t="inlineStr">
        <is>
          <t xml:space="preserve">  -</t>
        </is>
      </c>
      <c r="Q119" s="5" t="inlineStr">
        <is>
          <t>003</t>
        </is>
      </c>
      <c r="R119"/>
      <c r="S119" t="n">
        <v>5.0</v>
      </c>
      <c r="T119"/>
      <c r="U119" t="n">
        <v>5.0</v>
      </c>
      <c r="V119"/>
      <c r="W119" t="n">
        <v>0.0</v>
      </c>
      <c r="X119" t="n">
        <v>0.0</v>
      </c>
      <c r="Y119" t="n">
        <v>0.0</v>
      </c>
      <c r="Z119"/>
      <c r="AA119" t="n">
        <v>0.0</v>
      </c>
      <c r="AB119"/>
      <c r="AC119" t="n">
        <v>5.0</v>
      </c>
      <c r="AD119" s="5" t="inlineStr">
        <is>
          <t>pcs</t>
        </is>
      </c>
      <c r="AE119"/>
      <c r="AF119" s="5" t="inlineStr">
        <is>
          <t>pcs</t>
        </is>
      </c>
      <c r="AG119"/>
      <c r="AH119" t="inlineStr">
        <is>
          <t>No</t>
        </is>
      </c>
      <c r="AI119" s="2" t="n">
        <v>45841.40871527778</v>
      </c>
      <c r="AJ119" s="1" t="n">
        <f>DATE(2025,7,3)</f>
        <v>0.0</v>
      </c>
      <c r="AK119" t="inlineStr">
        <is>
          <t>Picking</t>
        </is>
      </c>
      <c r="AL119" s="2" t="n">
        <v>41183.442094907405</v>
      </c>
      <c r="AM119"/>
      <c r="AN119"/>
      <c r="AO119" t="n">
        <v>0.0</v>
      </c>
      <c r="AP119" t="n">
        <v>0.0</v>
      </c>
      <c r="AQ119"/>
      <c r="AR119" t="n">
        <v>0.3013862881479748</v>
      </c>
      <c r="AS119" t="n">
        <v>1.506931440739874</v>
      </c>
      <c r="AT119" s="5" t="inlineStr">
        <is>
          <t>AUD</t>
        </is>
      </c>
      <c r="AU119" t="inlineStr">
        <is>
          <t>Company Owned</t>
        </is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t="n">
        <v>0.0</v>
      </c>
      <c r="BK119"/>
      <c r="BL119"/>
      <c r="BM119"/>
      <c r="BN119"/>
      <c r="BO119"/>
      <c r="BP119"/>
      <c r="BQ119"/>
      <c r="BR119"/>
      <c r="BS119"/>
      <c r="BT119"/>
      <c r="BU119" t="inlineStr">
        <is>
          <t>Yes</t>
        </is>
      </c>
      <c r="BV119"/>
      <c r="BW119"/>
      <c r="BX119"/>
    </row>
    <row r="120">
      <c r="A120" s="5" t="inlineStr">
        <is>
          <t>SERV</t>
        </is>
      </c>
      <c r="B120" s="5" t="inlineStr">
        <is>
          <t>139199</t>
        </is>
      </c>
      <c r="C120" s="5" t="inlineStr">
        <is>
          <t>Fuse Holder 5 X 20 Din Rail</t>
        </is>
      </c>
      <c r="D120" s="5" t="inlineStr">
        <is>
          <t>*</t>
        </is>
      </c>
      <c r="E120" s="5" t="inlineStr">
        <is>
          <t>602-003</t>
        </is>
      </c>
      <c r="F120" s="5" t="inlineStr">
        <is>
          <t>*</t>
        </is>
      </c>
      <c r="G120" s="5" t="inlineStr">
        <is>
          <t>*</t>
        </is>
      </c>
      <c r="H120"/>
      <c r="I120"/>
      <c r="J120" s="5" t="inlineStr">
        <is>
          <t>0</t>
        </is>
      </c>
      <c r="K120" s="5" t="inlineStr">
        <is>
          <t>*</t>
        </is>
      </c>
      <c r="L120" t="n">
        <v>0.0</v>
      </c>
      <c r="M120" s="5" t="inlineStr">
        <is>
          <t>602</t>
        </is>
      </c>
      <c r="N120" s="5" t="inlineStr">
        <is>
          <t xml:space="preserve">  -</t>
        </is>
      </c>
      <c r="O120" s="5" t="inlineStr">
        <is>
          <t xml:space="preserve">  -</t>
        </is>
      </c>
      <c r="P120" s="5" t="inlineStr">
        <is>
          <t xml:space="preserve">  -</t>
        </is>
      </c>
      <c r="Q120" s="5" t="inlineStr">
        <is>
          <t>003</t>
        </is>
      </c>
      <c r="R120"/>
      <c r="S120" t="n">
        <v>3.0</v>
      </c>
      <c r="T120"/>
      <c r="U120" t="n">
        <v>3.0</v>
      </c>
      <c r="V120"/>
      <c r="W120" t="n">
        <v>0.0</v>
      </c>
      <c r="X120" t="n">
        <v>0.0</v>
      </c>
      <c r="Y120" t="n">
        <v>0.0</v>
      </c>
      <c r="Z120"/>
      <c r="AA120" t="n">
        <v>0.0</v>
      </c>
      <c r="AB120"/>
      <c r="AC120" t="n">
        <v>3.0</v>
      </c>
      <c r="AD120" s="5" t="inlineStr">
        <is>
          <t>pcs</t>
        </is>
      </c>
      <c r="AE120"/>
      <c r="AF120" s="5" t="inlineStr">
        <is>
          <t>pcs</t>
        </is>
      </c>
      <c r="AG120"/>
      <c r="AH120" t="inlineStr">
        <is>
          <t>No</t>
        </is>
      </c>
      <c r="AI120" s="2" t="n">
        <v>45841.40871527778</v>
      </c>
      <c r="AJ120" s="1" t="n">
        <f>DATE(2025,7,3)</f>
        <v>0.0</v>
      </c>
      <c r="AK120" t="inlineStr">
        <is>
          <t>Picking</t>
        </is>
      </c>
      <c r="AL120" s="2" t="n">
        <v>43194.48369212963</v>
      </c>
      <c r="AM120"/>
      <c r="AN120"/>
      <c r="AO120" t="n">
        <v>0.0</v>
      </c>
      <c r="AP120" t="n">
        <v>0.0</v>
      </c>
      <c r="AQ120"/>
      <c r="AR120" t="n">
        <v>18.001921052654694</v>
      </c>
      <c r="AS120" t="n">
        <v>54.00576315796409</v>
      </c>
      <c r="AT120" s="5" t="inlineStr">
        <is>
          <t>AUD</t>
        </is>
      </c>
      <c r="AU120" t="inlineStr">
        <is>
          <t>Company Owned</t>
        </is>
      </c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t="n">
        <v>0.0</v>
      </c>
      <c r="BK120"/>
      <c r="BL120"/>
      <c r="BM120"/>
      <c r="BN120"/>
      <c r="BO120"/>
      <c r="BP120"/>
      <c r="BQ120"/>
      <c r="BR120"/>
      <c r="BS120"/>
      <c r="BT120"/>
      <c r="BU120" t="inlineStr">
        <is>
          <t>Yes</t>
        </is>
      </c>
      <c r="BV120"/>
      <c r="BW120"/>
      <c r="BX120"/>
    </row>
    <row r="121">
      <c r="A121" s="5" t="inlineStr">
        <is>
          <t>SERV</t>
        </is>
      </c>
      <c r="B121" s="5" t="inlineStr">
        <is>
          <t>139678</t>
        </is>
      </c>
      <c r="C121" s="5" t="inlineStr">
        <is>
          <t>Valve Directly Operated Solenoid - N.C.</t>
        </is>
      </c>
      <c r="D121" s="5" t="inlineStr">
        <is>
          <t>*</t>
        </is>
      </c>
      <c r="E121" s="5" t="inlineStr">
        <is>
          <t>602-027</t>
        </is>
      </c>
      <c r="F121" s="5" t="inlineStr">
        <is>
          <t>*</t>
        </is>
      </c>
      <c r="G121" s="5" t="inlineStr">
        <is>
          <t>*</t>
        </is>
      </c>
      <c r="H121"/>
      <c r="I121"/>
      <c r="J121" s="5" t="inlineStr">
        <is>
          <t>1</t>
        </is>
      </c>
      <c r="K121" s="5" t="inlineStr">
        <is>
          <t>*</t>
        </is>
      </c>
      <c r="L121" t="n">
        <v>0.0</v>
      </c>
      <c r="M121" s="5" t="inlineStr">
        <is>
          <t>602</t>
        </is>
      </c>
      <c r="N121" s="5" t="inlineStr">
        <is>
          <t xml:space="preserve">  -</t>
        </is>
      </c>
      <c r="O121" s="5" t="inlineStr">
        <is>
          <t xml:space="preserve">  -</t>
        </is>
      </c>
      <c r="P121" s="5" t="inlineStr">
        <is>
          <t xml:space="preserve">  -</t>
        </is>
      </c>
      <c r="Q121" s="5" t="inlineStr">
        <is>
          <t>027</t>
        </is>
      </c>
      <c r="R121"/>
      <c r="S121" t="n">
        <v>2.0</v>
      </c>
      <c r="T121"/>
      <c r="U121" t="n">
        <v>2.0</v>
      </c>
      <c r="V121"/>
      <c r="W121" t="n">
        <v>0.0</v>
      </c>
      <c r="X121" t="n">
        <v>0.0</v>
      </c>
      <c r="Y121" t="n">
        <v>0.0</v>
      </c>
      <c r="Z121"/>
      <c r="AA121" t="n">
        <v>0.0</v>
      </c>
      <c r="AB121"/>
      <c r="AC121" t="n">
        <v>2.0</v>
      </c>
      <c r="AD121" s="5" t="inlineStr">
        <is>
          <t>pcs</t>
        </is>
      </c>
      <c r="AE121"/>
      <c r="AF121" s="5" t="inlineStr">
        <is>
          <t>pcs</t>
        </is>
      </c>
      <c r="AG121"/>
      <c r="AH121" t="inlineStr">
        <is>
          <t>No</t>
        </is>
      </c>
      <c r="AI121" s="2" t="n">
        <v>45841.408784722225</v>
      </c>
      <c r="AJ121" s="1" t="n">
        <f>DATE(2025,7,3)</f>
        <v>0.0</v>
      </c>
      <c r="AK121" t="inlineStr">
        <is>
          <t>Picking</t>
        </is>
      </c>
      <c r="AL121" s="2" t="n">
        <v>44581.60188657408</v>
      </c>
      <c r="AM121"/>
      <c r="AN121"/>
      <c r="AO121" t="n">
        <v>0.0</v>
      </c>
      <c r="AP121" t="n">
        <v>1.0</v>
      </c>
      <c r="AQ121"/>
      <c r="AR121" t="n">
        <v>82.71198666894273</v>
      </c>
      <c r="AS121" t="n">
        <v>165.42397333788546</v>
      </c>
      <c r="AT121" s="5" t="inlineStr">
        <is>
          <t>AUD</t>
        </is>
      </c>
      <c r="AU121" t="inlineStr">
        <is>
          <t>Company Owned</t>
        </is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t="n">
        <v>0.0</v>
      </c>
      <c r="BK121"/>
      <c r="BL121"/>
      <c r="BM121"/>
      <c r="BN121"/>
      <c r="BO121"/>
      <c r="BP121"/>
      <c r="BQ121"/>
      <c r="BR121"/>
      <c r="BS121"/>
      <c r="BT121"/>
      <c r="BU121" t="inlineStr">
        <is>
          <t>Yes</t>
        </is>
      </c>
      <c r="BV121"/>
      <c r="BW121"/>
      <c r="BX121"/>
    </row>
    <row r="122">
      <c r="A122" s="5" t="inlineStr">
        <is>
          <t>SERV</t>
        </is>
      </c>
      <c r="B122" s="5" t="inlineStr">
        <is>
          <t>139681</t>
        </is>
      </c>
      <c r="C122" s="5" t="inlineStr">
        <is>
          <t>Valve Pneumatic 1/2" S/S Steam NC</t>
        </is>
      </c>
      <c r="D122" s="5" t="inlineStr">
        <is>
          <t>*</t>
        </is>
      </c>
      <c r="E122" s="5" t="inlineStr">
        <is>
          <t>602-060</t>
        </is>
      </c>
      <c r="F122" s="5" t="inlineStr">
        <is>
          <t>*</t>
        </is>
      </c>
      <c r="G122" s="5" t="inlineStr">
        <is>
          <t>*</t>
        </is>
      </c>
      <c r="H122"/>
      <c r="I122"/>
      <c r="J122" s="5" t="inlineStr">
        <is>
          <t>1</t>
        </is>
      </c>
      <c r="K122" s="5" t="inlineStr">
        <is>
          <t>*</t>
        </is>
      </c>
      <c r="L122" t="n">
        <v>0.0</v>
      </c>
      <c r="M122" s="5" t="inlineStr">
        <is>
          <t>602</t>
        </is>
      </c>
      <c r="N122" s="5" t="inlineStr">
        <is>
          <t xml:space="preserve">  -</t>
        </is>
      </c>
      <c r="O122" s="5" t="inlineStr">
        <is>
          <t xml:space="preserve">  -</t>
        </is>
      </c>
      <c r="P122" s="5" t="inlineStr">
        <is>
          <t xml:space="preserve">  -</t>
        </is>
      </c>
      <c r="Q122" s="5" t="inlineStr">
        <is>
          <t>060</t>
        </is>
      </c>
      <c r="R122"/>
      <c r="S122" t="n">
        <v>2.0</v>
      </c>
      <c r="T122"/>
      <c r="U122" t="n">
        <v>2.0</v>
      </c>
      <c r="V122"/>
      <c r="W122" t="n">
        <v>0.0</v>
      </c>
      <c r="X122" t="n">
        <v>0.0</v>
      </c>
      <c r="Y122" t="n">
        <v>0.0</v>
      </c>
      <c r="Z122"/>
      <c r="AA122" t="n">
        <v>0.0</v>
      </c>
      <c r="AB122"/>
      <c r="AC122" t="n">
        <v>2.0</v>
      </c>
      <c r="AD122" s="5" t="inlineStr">
        <is>
          <t>pcs</t>
        </is>
      </c>
      <c r="AE122"/>
      <c r="AF122" s="5" t="inlineStr">
        <is>
          <t>pcs</t>
        </is>
      </c>
      <c r="AG122"/>
      <c r="AH122" t="inlineStr">
        <is>
          <t>No</t>
        </is>
      </c>
      <c r="AI122" s="2" t="n">
        <v>45841.408784722225</v>
      </c>
      <c r="AJ122" s="1" t="n">
        <f>DATE(2025,7,3)</f>
        <v>0.0</v>
      </c>
      <c r="AK122" t="inlineStr">
        <is>
          <t>Picking</t>
        </is>
      </c>
      <c r="AL122" s="2" t="n">
        <v>42919.39738425926</v>
      </c>
      <c r="AM122"/>
      <c r="AN122"/>
      <c r="AO122" t="n">
        <v>0.0</v>
      </c>
      <c r="AP122" t="n">
        <v>0.0</v>
      </c>
      <c r="AQ122"/>
      <c r="AR122" t="n">
        <v>199.79432115800867</v>
      </c>
      <c r="AS122" t="n">
        <v>399.58864231601734</v>
      </c>
      <c r="AT122" s="5" t="inlineStr">
        <is>
          <t>AUD</t>
        </is>
      </c>
      <c r="AU122" t="inlineStr">
        <is>
          <t>Company Owned</t>
        </is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t="n">
        <v>0.0</v>
      </c>
      <c r="BK122"/>
      <c r="BL122"/>
      <c r="BM122"/>
      <c r="BN122"/>
      <c r="BO122"/>
      <c r="BP122"/>
      <c r="BQ122"/>
      <c r="BR122"/>
      <c r="BS122"/>
      <c r="BT122"/>
      <c r="BU122" t="inlineStr">
        <is>
          <t>Yes</t>
        </is>
      </c>
      <c r="BV122"/>
      <c r="BW122"/>
      <c r="BX122"/>
    </row>
    <row r="123">
      <c r="A123" s="5" t="inlineStr">
        <is>
          <t>SERV</t>
        </is>
      </c>
      <c r="B123" s="5" t="inlineStr">
        <is>
          <t>138674</t>
        </is>
      </c>
      <c r="C123" s="5" t="inlineStr">
        <is>
          <t>Thermostat Tangent Generator 50-320 Deg</t>
        </is>
      </c>
      <c r="D123" s="5" t="inlineStr">
        <is>
          <t>*</t>
        </is>
      </c>
      <c r="E123" s="5" t="inlineStr">
        <is>
          <t>602-001</t>
        </is>
      </c>
      <c r="F123" s="5" t="inlineStr">
        <is>
          <t>*</t>
        </is>
      </c>
      <c r="G123" s="5" t="inlineStr">
        <is>
          <t>*</t>
        </is>
      </c>
      <c r="H123"/>
      <c r="I123"/>
      <c r="J123" s="5" t="inlineStr">
        <is>
          <t>0</t>
        </is>
      </c>
      <c r="K123" s="5" t="inlineStr">
        <is>
          <t>*</t>
        </is>
      </c>
      <c r="L123" t="n">
        <v>0.0</v>
      </c>
      <c r="M123" s="5" t="inlineStr">
        <is>
          <t>602</t>
        </is>
      </c>
      <c r="N123" s="5" t="inlineStr">
        <is>
          <t xml:space="preserve">  -</t>
        </is>
      </c>
      <c r="O123" s="5" t="inlineStr">
        <is>
          <t xml:space="preserve">  -</t>
        </is>
      </c>
      <c r="P123" s="5" t="inlineStr">
        <is>
          <t xml:space="preserve">  -</t>
        </is>
      </c>
      <c r="Q123" s="5" t="inlineStr">
        <is>
          <t>001</t>
        </is>
      </c>
      <c r="R123"/>
      <c r="S123" t="n">
        <v>1.0</v>
      </c>
      <c r="T123"/>
      <c r="U123" t="n">
        <v>1.0</v>
      </c>
      <c r="V123"/>
      <c r="W123" t="n">
        <v>0.0</v>
      </c>
      <c r="X123" t="n">
        <v>0.0</v>
      </c>
      <c r="Y123" t="n">
        <v>0.0</v>
      </c>
      <c r="Z123"/>
      <c r="AA123" t="n">
        <v>0.0</v>
      </c>
      <c r="AB123"/>
      <c r="AC123" t="n">
        <v>1.0</v>
      </c>
      <c r="AD123" s="5" t="inlineStr">
        <is>
          <t>pcs</t>
        </is>
      </c>
      <c r="AE123"/>
      <c r="AF123" s="5" t="inlineStr">
        <is>
          <t>pcs</t>
        </is>
      </c>
      <c r="AG123"/>
      <c r="AH123" t="inlineStr">
        <is>
          <t>No</t>
        </is>
      </c>
      <c r="AI123" s="2" t="n">
        <v>45841.4087037037</v>
      </c>
      <c r="AJ123" s="1" t="n">
        <f>DATE(2025,7,3)</f>
        <v>0.0</v>
      </c>
      <c r="AK123" t="inlineStr">
        <is>
          <t>Picking</t>
        </is>
      </c>
      <c r="AL123" s="2" t="n">
        <v>43335.388136574074</v>
      </c>
      <c r="AM123"/>
      <c r="AN123"/>
      <c r="AO123" t="n">
        <v>0.0</v>
      </c>
      <c r="AP123" t="n">
        <v>0.0</v>
      </c>
      <c r="AQ123"/>
      <c r="AR123" t="n">
        <v>133.98256185108247</v>
      </c>
      <c r="AS123" t="n">
        <v>133.98256185108247</v>
      </c>
      <c r="AT123" s="5" t="inlineStr">
        <is>
          <t>AUD</t>
        </is>
      </c>
      <c r="AU123" t="inlineStr">
        <is>
          <t>Company Owned</t>
        </is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t="n">
        <v>0.0</v>
      </c>
      <c r="BK123"/>
      <c r="BL123"/>
      <c r="BM123"/>
      <c r="BN123"/>
      <c r="BO123"/>
      <c r="BP123"/>
      <c r="BQ123"/>
      <c r="BR123"/>
      <c r="BS123"/>
      <c r="BT123"/>
      <c r="BU123" t="inlineStr">
        <is>
          <t>Yes</t>
        </is>
      </c>
      <c r="BV123"/>
      <c r="BW123"/>
      <c r="BX123"/>
    </row>
    <row r="124">
      <c r="A124" s="5" t="inlineStr">
        <is>
          <t>SERV</t>
        </is>
      </c>
      <c r="B124" s="5" t="inlineStr">
        <is>
          <t>139715</t>
        </is>
      </c>
      <c r="C124" s="5" t="inlineStr">
        <is>
          <t>Valve Pneumatic 3/4" S/S Steam NC</t>
        </is>
      </c>
      <c r="D124" s="5" t="inlineStr">
        <is>
          <t>*</t>
        </is>
      </c>
      <c r="E124" s="5" t="inlineStr">
        <is>
          <t>602-022</t>
        </is>
      </c>
      <c r="F124" s="5" t="inlineStr">
        <is>
          <t>*</t>
        </is>
      </c>
      <c r="G124" s="5" t="inlineStr">
        <is>
          <t>*</t>
        </is>
      </c>
      <c r="H124"/>
      <c r="I124"/>
      <c r="J124" s="5" t="inlineStr">
        <is>
          <t>1</t>
        </is>
      </c>
      <c r="K124" s="5" t="inlineStr">
        <is>
          <t>*</t>
        </is>
      </c>
      <c r="L124" t="n">
        <v>0.0</v>
      </c>
      <c r="M124" s="5" t="inlineStr">
        <is>
          <t>602</t>
        </is>
      </c>
      <c r="N124" s="5" t="inlineStr">
        <is>
          <t xml:space="preserve">  -</t>
        </is>
      </c>
      <c r="O124" s="5" t="inlineStr">
        <is>
          <t xml:space="preserve">  -</t>
        </is>
      </c>
      <c r="P124" s="5" t="inlineStr">
        <is>
          <t xml:space="preserve">  -</t>
        </is>
      </c>
      <c r="Q124" s="5" t="inlineStr">
        <is>
          <t>022</t>
        </is>
      </c>
      <c r="R124"/>
      <c r="S124" t="n">
        <v>1.0</v>
      </c>
      <c r="T124"/>
      <c r="U124" t="n">
        <v>1.0</v>
      </c>
      <c r="V124"/>
      <c r="W124" t="n">
        <v>0.0</v>
      </c>
      <c r="X124" t="n">
        <v>0.0</v>
      </c>
      <c r="Y124" t="n">
        <v>0.0</v>
      </c>
      <c r="Z124"/>
      <c r="AA124" t="n">
        <v>0.0</v>
      </c>
      <c r="AB124"/>
      <c r="AC124" t="n">
        <v>1.0</v>
      </c>
      <c r="AD124" s="5" t="inlineStr">
        <is>
          <t>pcs</t>
        </is>
      </c>
      <c r="AE124"/>
      <c r="AF124" s="5" t="inlineStr">
        <is>
          <t>pcs</t>
        </is>
      </c>
      <c r="AG124"/>
      <c r="AH124" t="inlineStr">
        <is>
          <t>No</t>
        </is>
      </c>
      <c r="AI124" s="2" t="n">
        <v>45841.40876157407</v>
      </c>
      <c r="AJ124" s="1" t="n">
        <f>DATE(2025,7,3)</f>
        <v>0.0</v>
      </c>
      <c r="AK124" t="inlineStr">
        <is>
          <t>Picking</t>
        </is>
      </c>
      <c r="AL124" s="2" t="n">
        <v>44963.37299768518</v>
      </c>
      <c r="AM124"/>
      <c r="AN124"/>
      <c r="AO124" t="n">
        <v>0.0</v>
      </c>
      <c r="AP124" t="n">
        <v>0.0</v>
      </c>
      <c r="AQ124"/>
      <c r="AR124" t="n">
        <v>216.3878409090909</v>
      </c>
      <c r="AS124" t="n">
        <v>216.3878409090909</v>
      </c>
      <c r="AT124" s="5" t="inlineStr">
        <is>
          <t>AUD</t>
        </is>
      </c>
      <c r="AU124" t="inlineStr">
        <is>
          <t>Company Owned</t>
        </is>
      </c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t="n">
        <v>0.0</v>
      </c>
      <c r="BK124"/>
      <c r="BL124"/>
      <c r="BM124"/>
      <c r="BN124"/>
      <c r="BO124"/>
      <c r="BP124"/>
      <c r="BQ124"/>
      <c r="BR124"/>
      <c r="BS124"/>
      <c r="BT124"/>
      <c r="BU124" t="inlineStr">
        <is>
          <t>Yes</t>
        </is>
      </c>
      <c r="BV124"/>
      <c r="BW124"/>
      <c r="BX124"/>
    </row>
    <row r="125">
      <c r="A125" s="5" t="inlineStr">
        <is>
          <t>SERV</t>
        </is>
      </c>
      <c r="B125" s="5" t="inlineStr">
        <is>
          <t>139733</t>
        </is>
      </c>
      <c r="C125" s="5" t="inlineStr">
        <is>
          <t>Trap Air &amp; Steam 15mm S/S</t>
        </is>
      </c>
      <c r="D125" s="5" t="inlineStr">
        <is>
          <t>*</t>
        </is>
      </c>
      <c r="E125" s="5" t="inlineStr">
        <is>
          <t>602-060</t>
        </is>
      </c>
      <c r="F125" s="5" t="inlineStr">
        <is>
          <t>*</t>
        </is>
      </c>
      <c r="G125" s="5" t="inlineStr">
        <is>
          <t>*</t>
        </is>
      </c>
      <c r="H125"/>
      <c r="I125"/>
      <c r="J125" s="5" t="inlineStr">
        <is>
          <t>1</t>
        </is>
      </c>
      <c r="K125" s="5" t="inlineStr">
        <is>
          <t>*</t>
        </is>
      </c>
      <c r="L125" t="n">
        <v>0.0</v>
      </c>
      <c r="M125" s="5" t="inlineStr">
        <is>
          <t>602</t>
        </is>
      </c>
      <c r="N125" s="5" t="inlineStr">
        <is>
          <t xml:space="preserve">  -</t>
        </is>
      </c>
      <c r="O125" s="5" t="inlineStr">
        <is>
          <t xml:space="preserve">  -</t>
        </is>
      </c>
      <c r="P125" s="5" t="inlineStr">
        <is>
          <t xml:space="preserve">  -</t>
        </is>
      </c>
      <c r="Q125" s="5" t="inlineStr">
        <is>
          <t>060</t>
        </is>
      </c>
      <c r="R125"/>
      <c r="S125" t="n">
        <v>3.0</v>
      </c>
      <c r="T125"/>
      <c r="U125" t="n">
        <v>3.0</v>
      </c>
      <c r="V125"/>
      <c r="W125" t="n">
        <v>0.0</v>
      </c>
      <c r="X125" t="n">
        <v>0.0</v>
      </c>
      <c r="Y125" t="n">
        <v>0.0</v>
      </c>
      <c r="Z125"/>
      <c r="AA125" t="n">
        <v>0.0</v>
      </c>
      <c r="AB125"/>
      <c r="AC125" t="n">
        <v>3.0</v>
      </c>
      <c r="AD125" s="5" t="inlineStr">
        <is>
          <t>pcs</t>
        </is>
      </c>
      <c r="AE125"/>
      <c r="AF125" s="5" t="inlineStr">
        <is>
          <t>pcs</t>
        </is>
      </c>
      <c r="AG125"/>
      <c r="AH125" t="inlineStr">
        <is>
          <t>No</t>
        </is>
      </c>
      <c r="AI125" s="2" t="n">
        <v>46050.45431712963</v>
      </c>
      <c r="AJ125" s="1" t="n">
        <f>DATE(2025,7,3)</f>
        <v>0.0</v>
      </c>
      <c r="AK125" t="inlineStr">
        <is>
          <t>Picking</t>
        </is>
      </c>
      <c r="AL125" s="2" t="n">
        <v>42418.62625</v>
      </c>
      <c r="AM125"/>
      <c r="AN125"/>
      <c r="AO125" t="n">
        <v>0.0</v>
      </c>
      <c r="AP125" t="n">
        <v>0.0</v>
      </c>
      <c r="AQ125"/>
      <c r="AR125" t="n">
        <v>443.3784569751537</v>
      </c>
      <c r="AS125" t="n">
        <v>1330.135370925461</v>
      </c>
      <c r="AT125" s="5" t="inlineStr">
        <is>
          <t>AUD</t>
        </is>
      </c>
      <c r="AU125" t="inlineStr">
        <is>
          <t>Company Owned</t>
        </is>
      </c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t="n">
        <v>0.0</v>
      </c>
      <c r="BK125"/>
      <c r="BL125"/>
      <c r="BM125"/>
      <c r="BN125"/>
      <c r="BO125"/>
      <c r="BP125"/>
      <c r="BQ125"/>
      <c r="BR125"/>
      <c r="BS125"/>
      <c r="BT125"/>
      <c r="BU125" t="inlineStr">
        <is>
          <t>Yes</t>
        </is>
      </c>
      <c r="BV125"/>
      <c r="BW125"/>
      <c r="BX125"/>
    </row>
    <row r="126">
      <c r="A126" s="5" t="inlineStr">
        <is>
          <t>SERV</t>
        </is>
      </c>
      <c r="B126" s="5" t="inlineStr">
        <is>
          <t>139281</t>
        </is>
      </c>
      <c r="C126" s="5" t="inlineStr">
        <is>
          <t>Filter Water Cartridge Tangent</t>
        </is>
      </c>
      <c r="D126" s="5" t="inlineStr">
        <is>
          <t>*</t>
        </is>
      </c>
      <c r="E126" s="5" t="inlineStr">
        <is>
          <t>602-026</t>
        </is>
      </c>
      <c r="F126" s="5" t="inlineStr">
        <is>
          <t>*</t>
        </is>
      </c>
      <c r="G126" s="5" t="inlineStr">
        <is>
          <t>*</t>
        </is>
      </c>
      <c r="H126"/>
      <c r="I126"/>
      <c r="J126" s="5" t="inlineStr">
        <is>
          <t>0</t>
        </is>
      </c>
      <c r="K126" s="5" t="inlineStr">
        <is>
          <t>*</t>
        </is>
      </c>
      <c r="L126" t="n">
        <v>0.0</v>
      </c>
      <c r="M126" s="5" t="inlineStr">
        <is>
          <t>602</t>
        </is>
      </c>
      <c r="N126" s="5" t="inlineStr">
        <is>
          <t xml:space="preserve">  -</t>
        </is>
      </c>
      <c r="O126" s="5" t="inlineStr">
        <is>
          <t xml:space="preserve">  -</t>
        </is>
      </c>
      <c r="P126" s="5" t="inlineStr">
        <is>
          <t xml:space="preserve">  -</t>
        </is>
      </c>
      <c r="Q126" s="5" t="inlineStr">
        <is>
          <t>026</t>
        </is>
      </c>
      <c r="R126"/>
      <c r="S126" t="n">
        <v>1.0</v>
      </c>
      <c r="T126"/>
      <c r="U126" t="n">
        <v>1.0</v>
      </c>
      <c r="V126"/>
      <c r="W126" t="n">
        <v>0.0</v>
      </c>
      <c r="X126" t="n">
        <v>0.0</v>
      </c>
      <c r="Y126" t="n">
        <v>0.0</v>
      </c>
      <c r="Z126"/>
      <c r="AA126" t="n">
        <v>0.0</v>
      </c>
      <c r="AB126"/>
      <c r="AC126" t="n">
        <v>1.0</v>
      </c>
      <c r="AD126" s="5" t="inlineStr">
        <is>
          <t>pcs</t>
        </is>
      </c>
      <c r="AE126"/>
      <c r="AF126" s="5" t="inlineStr">
        <is>
          <t>pcs</t>
        </is>
      </c>
      <c r="AG126"/>
      <c r="AH126" t="inlineStr">
        <is>
          <t>No</t>
        </is>
      </c>
      <c r="AI126" s="2" t="n">
        <v>45841.40898148148</v>
      </c>
      <c r="AJ126" s="1" t="n">
        <f>DATE(2020,6,1)</f>
        <v>0.0</v>
      </c>
      <c r="AK126" t="inlineStr">
        <is>
          <t>Picking</t>
        </is>
      </c>
      <c r="AL126" s="2" t="n">
        <v>44372.410532407404</v>
      </c>
      <c r="AM126"/>
      <c r="AN126"/>
      <c r="AO126" t="n">
        <v>0.0</v>
      </c>
      <c r="AP126" t="n">
        <v>0.0</v>
      </c>
      <c r="AQ126"/>
      <c r="AR126" t="n">
        <v>11.8</v>
      </c>
      <c r="AS126" t="n">
        <v>11.8</v>
      </c>
      <c r="AT126" s="5" t="inlineStr">
        <is>
          <t>AUD</t>
        </is>
      </c>
      <c r="AU126" t="inlineStr">
        <is>
          <t>Company Owned</t>
        </is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t="n">
        <v>0.0</v>
      </c>
      <c r="BK126"/>
      <c r="BL126"/>
      <c r="BM126"/>
      <c r="BN126"/>
      <c r="BO126"/>
      <c r="BP126"/>
      <c r="BQ126"/>
      <c r="BR126"/>
      <c r="BS126"/>
      <c r="BT126"/>
      <c r="BU126" t="inlineStr">
        <is>
          <t>Yes</t>
        </is>
      </c>
      <c r="BV126"/>
      <c r="BW126"/>
      <c r="BX126"/>
    </row>
    <row r="127">
      <c r="A127" s="5" t="inlineStr">
        <is>
          <t>SERV</t>
        </is>
      </c>
      <c r="B127" s="5" t="inlineStr">
        <is>
          <t>139791</t>
        </is>
      </c>
      <c r="C127" s="5" t="inlineStr">
        <is>
          <t>Nipple S/S Hex 3/4</t>
        </is>
      </c>
      <c r="D127" s="5" t="inlineStr">
        <is>
          <t>*</t>
        </is>
      </c>
      <c r="E127" s="5" t="inlineStr">
        <is>
          <t>602-022</t>
        </is>
      </c>
      <c r="F127" s="5" t="inlineStr">
        <is>
          <t>*</t>
        </is>
      </c>
      <c r="G127" s="5" t="inlineStr">
        <is>
          <t>*</t>
        </is>
      </c>
      <c r="H127"/>
      <c r="I127"/>
      <c r="J127" s="5" t="inlineStr">
        <is>
          <t>1</t>
        </is>
      </c>
      <c r="K127" s="5" t="inlineStr">
        <is>
          <t>*</t>
        </is>
      </c>
      <c r="L127" t="n">
        <v>0.0</v>
      </c>
      <c r="M127" s="5" t="inlineStr">
        <is>
          <t>602</t>
        </is>
      </c>
      <c r="N127" s="5" t="inlineStr">
        <is>
          <t xml:space="preserve">  -</t>
        </is>
      </c>
      <c r="O127" s="5" t="inlineStr">
        <is>
          <t xml:space="preserve">  -</t>
        </is>
      </c>
      <c r="P127" s="5" t="inlineStr">
        <is>
          <t xml:space="preserve">  -</t>
        </is>
      </c>
      <c r="Q127" s="5" t="inlineStr">
        <is>
          <t>022</t>
        </is>
      </c>
      <c r="R127"/>
      <c r="S127" t="n">
        <v>2.0</v>
      </c>
      <c r="T127"/>
      <c r="U127" t="n">
        <v>2.0</v>
      </c>
      <c r="V127"/>
      <c r="W127" t="n">
        <v>0.0</v>
      </c>
      <c r="X127" t="n">
        <v>0.0</v>
      </c>
      <c r="Y127" t="n">
        <v>0.0</v>
      </c>
      <c r="Z127"/>
      <c r="AA127" t="n">
        <v>0.0</v>
      </c>
      <c r="AB127"/>
      <c r="AC127" t="n">
        <v>2.0</v>
      </c>
      <c r="AD127" s="5" t="inlineStr">
        <is>
          <t>pcs</t>
        </is>
      </c>
      <c r="AE127"/>
      <c r="AF127" s="5" t="inlineStr">
        <is>
          <t>pcs</t>
        </is>
      </c>
      <c r="AG127"/>
      <c r="AH127" t="inlineStr">
        <is>
          <t>No</t>
        </is>
      </c>
      <c r="AI127" s="2" t="n">
        <v>45841.40876157407</v>
      </c>
      <c r="AJ127" s="1" t="n">
        <f>DATE(2025,7,3)</f>
        <v>0.0</v>
      </c>
      <c r="AK127" t="inlineStr">
        <is>
          <t>Picking</t>
        </is>
      </c>
      <c r="AL127" s="2" t="n">
        <v>41913.61625</v>
      </c>
      <c r="AM127"/>
      <c r="AN127"/>
      <c r="AO127" t="n">
        <v>0.0</v>
      </c>
      <c r="AP127" t="n">
        <v>0.0</v>
      </c>
      <c r="AQ127"/>
      <c r="AR127" t="n">
        <v>14.345219373219374</v>
      </c>
      <c r="AS127" t="n">
        <v>28.690438746438748</v>
      </c>
      <c r="AT127" s="5" t="inlineStr">
        <is>
          <t>AUD</t>
        </is>
      </c>
      <c r="AU127" t="inlineStr">
        <is>
          <t>Company Owned</t>
        </is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t="n">
        <v>0.0</v>
      </c>
      <c r="BK127"/>
      <c r="BL127"/>
      <c r="BM127"/>
      <c r="BN127"/>
      <c r="BO127"/>
      <c r="BP127"/>
      <c r="BQ127"/>
      <c r="BR127"/>
      <c r="BS127"/>
      <c r="BT127"/>
      <c r="BU127" t="inlineStr">
        <is>
          <t>Yes</t>
        </is>
      </c>
      <c r="BV127"/>
      <c r="BW127"/>
      <c r="BX127"/>
    </row>
    <row r="128">
      <c r="A128" s="5" t="inlineStr">
        <is>
          <t>SERV</t>
        </is>
      </c>
      <c r="B128" s="5" t="inlineStr">
        <is>
          <t>139833</t>
        </is>
      </c>
      <c r="C128" s="5" t="inlineStr">
        <is>
          <t>Bolt Hex S/S M10 X 55mm Bumax 316 10.9</t>
        </is>
      </c>
      <c r="D128" s="5" t="inlineStr">
        <is>
          <t>*</t>
        </is>
      </c>
      <c r="E128" s="5" t="inlineStr">
        <is>
          <t>602-029</t>
        </is>
      </c>
      <c r="F128" s="5" t="inlineStr">
        <is>
          <t>*</t>
        </is>
      </c>
      <c r="G128" s="5" t="inlineStr">
        <is>
          <t>*</t>
        </is>
      </c>
      <c r="H128"/>
      <c r="I128"/>
      <c r="J128" s="5" t="inlineStr">
        <is>
          <t>1</t>
        </is>
      </c>
      <c r="K128" s="5" t="inlineStr">
        <is>
          <t>*</t>
        </is>
      </c>
      <c r="L128" t="n">
        <v>0.0</v>
      </c>
      <c r="M128" s="5" t="inlineStr">
        <is>
          <t>602</t>
        </is>
      </c>
      <c r="N128" s="5" t="inlineStr">
        <is>
          <t xml:space="preserve">  -</t>
        </is>
      </c>
      <c r="O128" s="5" t="inlineStr">
        <is>
          <t xml:space="preserve">  -</t>
        </is>
      </c>
      <c r="P128" s="5" t="inlineStr">
        <is>
          <t xml:space="preserve">  -</t>
        </is>
      </c>
      <c r="Q128" s="5" t="inlineStr">
        <is>
          <t>029</t>
        </is>
      </c>
      <c r="R128"/>
      <c r="S128" t="n">
        <v>8.0</v>
      </c>
      <c r="T128"/>
      <c r="U128" t="n">
        <v>8.0</v>
      </c>
      <c r="V128"/>
      <c r="W128" t="n">
        <v>0.0</v>
      </c>
      <c r="X128" t="n">
        <v>0.0</v>
      </c>
      <c r="Y128" t="n">
        <v>0.0</v>
      </c>
      <c r="Z128"/>
      <c r="AA128" t="n">
        <v>0.0</v>
      </c>
      <c r="AB128"/>
      <c r="AC128" t="n">
        <v>8.0</v>
      </c>
      <c r="AD128" s="5" t="inlineStr">
        <is>
          <t>pcs</t>
        </is>
      </c>
      <c r="AE128"/>
      <c r="AF128" s="5" t="inlineStr">
        <is>
          <t>pcs</t>
        </is>
      </c>
      <c r="AG128"/>
      <c r="AH128" t="inlineStr">
        <is>
          <t>No</t>
        </is>
      </c>
      <c r="AI128" s="2" t="n">
        <v>45841.408784722225</v>
      </c>
      <c r="AJ128" s="1" t="n">
        <f>DATE(2025,7,3)</f>
        <v>0.0</v>
      </c>
      <c r="AK128" t="inlineStr">
        <is>
          <t>Picking</t>
        </is>
      </c>
      <c r="AL128" s="2" t="n">
        <v>44795.40766203704</v>
      </c>
      <c r="AM128"/>
      <c r="AN128"/>
      <c r="AO128" t="n">
        <v>0.0</v>
      </c>
      <c r="AP128" t="n">
        <v>0.0</v>
      </c>
      <c r="AQ128"/>
      <c r="AR128" t="n">
        <v>15.7</v>
      </c>
      <c r="AS128" t="n">
        <v>125.6</v>
      </c>
      <c r="AT128" s="5" t="inlineStr">
        <is>
          <t>AUD</t>
        </is>
      </c>
      <c r="AU128" t="inlineStr">
        <is>
          <t>Company Owned</t>
        </is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t="n">
        <v>0.0</v>
      </c>
      <c r="BK128"/>
      <c r="BL128"/>
      <c r="BM128"/>
      <c r="BN128"/>
      <c r="BO128"/>
      <c r="BP128"/>
      <c r="BQ128"/>
      <c r="BR128"/>
      <c r="BS128"/>
      <c r="BT128"/>
      <c r="BU128" t="inlineStr">
        <is>
          <t>Yes</t>
        </is>
      </c>
      <c r="BV128"/>
      <c r="BW128"/>
      <c r="BX128"/>
    </row>
    <row r="129">
      <c r="A129" s="5" t="inlineStr">
        <is>
          <t>SERV</t>
        </is>
      </c>
      <c r="B129" s="5" t="inlineStr">
        <is>
          <t>139297</t>
        </is>
      </c>
      <c r="C129" s="5" t="inlineStr">
        <is>
          <t>Element P/W Duck</t>
        </is>
      </c>
      <c r="D129" s="5" t="inlineStr">
        <is>
          <t>*</t>
        </is>
      </c>
      <c r="E129" s="5" t="inlineStr">
        <is>
          <t>602-060</t>
        </is>
      </c>
      <c r="F129" s="5" t="inlineStr">
        <is>
          <t>*</t>
        </is>
      </c>
      <c r="G129" s="5" t="inlineStr">
        <is>
          <t>*</t>
        </is>
      </c>
      <c r="H129"/>
      <c r="I129"/>
      <c r="J129" s="5" t="inlineStr">
        <is>
          <t>1</t>
        </is>
      </c>
      <c r="K129" s="5" t="inlineStr">
        <is>
          <t>*</t>
        </is>
      </c>
      <c r="L129" t="n">
        <v>0.0</v>
      </c>
      <c r="M129" s="5" t="inlineStr">
        <is>
          <t>602</t>
        </is>
      </c>
      <c r="N129" s="5" t="inlineStr">
        <is>
          <t xml:space="preserve">  -</t>
        </is>
      </c>
      <c r="O129" s="5" t="inlineStr">
        <is>
          <t xml:space="preserve">  -</t>
        </is>
      </c>
      <c r="P129" s="5" t="inlineStr">
        <is>
          <t xml:space="preserve">  -</t>
        </is>
      </c>
      <c r="Q129" s="5" t="inlineStr">
        <is>
          <t>060</t>
        </is>
      </c>
      <c r="R129"/>
      <c r="S129" t="n">
        <v>0.0</v>
      </c>
      <c r="T129"/>
      <c r="U129" t="n">
        <v>0.0</v>
      </c>
      <c r="V129"/>
      <c r="W129" t="n">
        <v>0.0</v>
      </c>
      <c r="X129" t="n">
        <v>0.0</v>
      </c>
      <c r="Y129" t="n">
        <v>0.0</v>
      </c>
      <c r="Z129"/>
      <c r="AA129" t="n">
        <v>0.0</v>
      </c>
      <c r="AB129"/>
      <c r="AC129" t="n">
        <v>0.0</v>
      </c>
      <c r="AD129" s="5" t="inlineStr">
        <is>
          <t>pcs</t>
        </is>
      </c>
      <c r="AE129"/>
      <c r="AF129" s="5" t="inlineStr">
        <is>
          <t>pcs</t>
        </is>
      </c>
      <c r="AG129"/>
      <c r="AH129" t="inlineStr">
        <is>
          <t>No</t>
        </is>
      </c>
      <c r="AI129" s="2" t="n">
        <v>46051.479837962965</v>
      </c>
      <c r="AJ129" s="1" t="n">
        <f>DATE(2026,1,29)</f>
        <v>0.0</v>
      </c>
      <c r="AK129" t="inlineStr">
        <is>
          <t>Picking</t>
        </is>
      </c>
      <c r="AL129" s="2" t="n">
        <v>45177.663935185185</v>
      </c>
      <c r="AM129"/>
      <c r="AN129"/>
      <c r="AO129" t="n">
        <v>0.0</v>
      </c>
      <c r="AP129" t="n">
        <v>1.0</v>
      </c>
      <c r="AQ129"/>
      <c r="AR129" t="n">
        <v>0.0</v>
      </c>
      <c r="AS129" t="n">
        <v>0.0</v>
      </c>
      <c r="AT129" s="5" t="inlineStr">
        <is>
          <t>AUD</t>
        </is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t="n">
        <v>0.0</v>
      </c>
      <c r="BK129"/>
      <c r="BL129"/>
      <c r="BM129"/>
      <c r="BN129"/>
      <c r="BO129"/>
      <c r="BP129"/>
      <c r="BQ129"/>
      <c r="BR129"/>
      <c r="BS129"/>
      <c r="BT129"/>
      <c r="BU129" t="inlineStr">
        <is>
          <t>Yes</t>
        </is>
      </c>
      <c r="BV129"/>
      <c r="BW129"/>
      <c r="BX129"/>
    </row>
    <row r="130">
      <c r="A130" s="5" t="inlineStr">
        <is>
          <t>SERV</t>
        </is>
      </c>
      <c r="B130" s="5" t="inlineStr">
        <is>
          <t>139305</t>
        </is>
      </c>
      <c r="C130" s="5" t="inlineStr">
        <is>
          <t>Plug Solenoid</t>
        </is>
      </c>
      <c r="D130" s="5" t="inlineStr">
        <is>
          <t>*</t>
        </is>
      </c>
      <c r="E130" s="5" t="inlineStr">
        <is>
          <t>602-019</t>
        </is>
      </c>
      <c r="F130" s="5" t="inlineStr">
        <is>
          <t>*</t>
        </is>
      </c>
      <c r="G130" s="5" t="inlineStr">
        <is>
          <t>*</t>
        </is>
      </c>
      <c r="H130"/>
      <c r="I130"/>
      <c r="J130" s="5" t="inlineStr">
        <is>
          <t>0</t>
        </is>
      </c>
      <c r="K130" s="5" t="inlineStr">
        <is>
          <t>*</t>
        </is>
      </c>
      <c r="L130" t="n">
        <v>0.0</v>
      </c>
      <c r="M130" s="5" t="inlineStr">
        <is>
          <t>602</t>
        </is>
      </c>
      <c r="N130" s="5" t="inlineStr">
        <is>
          <t xml:space="preserve">  -</t>
        </is>
      </c>
      <c r="O130" s="5" t="inlineStr">
        <is>
          <t xml:space="preserve">  -</t>
        </is>
      </c>
      <c r="P130" s="5" t="inlineStr">
        <is>
          <t xml:space="preserve">  -</t>
        </is>
      </c>
      <c r="Q130" s="5" t="inlineStr">
        <is>
          <t>019</t>
        </is>
      </c>
      <c r="R130"/>
      <c r="S130" t="n">
        <v>22.0</v>
      </c>
      <c r="T130"/>
      <c r="U130" t="n">
        <v>22.0</v>
      </c>
      <c r="V130"/>
      <c r="W130" t="n">
        <v>0.0</v>
      </c>
      <c r="X130" t="n">
        <v>0.0</v>
      </c>
      <c r="Y130" t="n">
        <v>0.0</v>
      </c>
      <c r="Z130"/>
      <c r="AA130" t="n">
        <v>0.0</v>
      </c>
      <c r="AB130"/>
      <c r="AC130" t="n">
        <v>22.0</v>
      </c>
      <c r="AD130" s="5" t="inlineStr">
        <is>
          <t>pcs</t>
        </is>
      </c>
      <c r="AE130"/>
      <c r="AF130" s="5" t="inlineStr">
        <is>
          <t>pcs</t>
        </is>
      </c>
      <c r="AG130"/>
      <c r="AH130" t="inlineStr">
        <is>
          <t>No</t>
        </is>
      </c>
      <c r="AI130" s="2" t="n">
        <v>45841.40875</v>
      </c>
      <c r="AJ130" s="1" t="n">
        <f>DATE(2025,7,3)</f>
        <v>0.0</v>
      </c>
      <c r="AK130" t="inlineStr">
        <is>
          <t>Picking</t>
        </is>
      </c>
      <c r="AL130" s="2" t="n">
        <v>41183.44262731481</v>
      </c>
      <c r="AM130"/>
      <c r="AN130"/>
      <c r="AO130" t="n">
        <v>0.0</v>
      </c>
      <c r="AP130" t="n">
        <v>0.0</v>
      </c>
      <c r="AQ130"/>
      <c r="AR130" t="n">
        <v>4.836907379382225</v>
      </c>
      <c r="AS130" t="n">
        <v>106.41196234640896</v>
      </c>
      <c r="AT130" s="5" t="inlineStr">
        <is>
          <t>AUD</t>
        </is>
      </c>
      <c r="AU130" t="inlineStr">
        <is>
          <t>Company Owned</t>
        </is>
      </c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t="n">
        <v>0.0</v>
      </c>
      <c r="BK130"/>
      <c r="BL130"/>
      <c r="BM130"/>
      <c r="BN130"/>
      <c r="BO130"/>
      <c r="BP130"/>
      <c r="BQ130"/>
      <c r="BR130"/>
      <c r="BS130"/>
      <c r="BT130"/>
      <c r="BU130" t="inlineStr">
        <is>
          <t>Yes</t>
        </is>
      </c>
      <c r="BV130"/>
      <c r="BW130"/>
      <c r="BX130"/>
    </row>
    <row r="131">
      <c r="A131" s="5" t="inlineStr">
        <is>
          <t>SERV</t>
        </is>
      </c>
      <c r="B131" s="5" t="inlineStr">
        <is>
          <t>139852</t>
        </is>
      </c>
      <c r="C131" s="5" t="inlineStr">
        <is>
          <t>Bush Reducing S/S 3/4 F X 2 M</t>
        </is>
      </c>
      <c r="D131" s="5" t="inlineStr">
        <is>
          <t>*</t>
        </is>
      </c>
      <c r="E131" s="5" t="inlineStr">
        <is>
          <t>602-060</t>
        </is>
      </c>
      <c r="F131" s="5" t="inlineStr">
        <is>
          <t>*</t>
        </is>
      </c>
      <c r="G131" s="5" t="inlineStr">
        <is>
          <t>*</t>
        </is>
      </c>
      <c r="H131"/>
      <c r="I131"/>
      <c r="J131" s="5" t="inlineStr">
        <is>
          <t>1</t>
        </is>
      </c>
      <c r="K131" s="5" t="inlineStr">
        <is>
          <t>*</t>
        </is>
      </c>
      <c r="L131" t="n">
        <v>0.0</v>
      </c>
      <c r="M131" s="5" t="inlineStr">
        <is>
          <t>602</t>
        </is>
      </c>
      <c r="N131" s="5" t="inlineStr">
        <is>
          <t xml:space="preserve">  -</t>
        </is>
      </c>
      <c r="O131" s="5" t="inlineStr">
        <is>
          <t xml:space="preserve">  -</t>
        </is>
      </c>
      <c r="P131" s="5" t="inlineStr">
        <is>
          <t xml:space="preserve">  -</t>
        </is>
      </c>
      <c r="Q131" s="5" t="inlineStr">
        <is>
          <t>060</t>
        </is>
      </c>
      <c r="R131"/>
      <c r="S131" t="n">
        <v>4.0</v>
      </c>
      <c r="T131"/>
      <c r="U131" t="n">
        <v>4.0</v>
      </c>
      <c r="V131"/>
      <c r="W131" t="n">
        <v>0.0</v>
      </c>
      <c r="X131" t="n">
        <v>0.0</v>
      </c>
      <c r="Y131" t="n">
        <v>0.0</v>
      </c>
      <c r="Z131"/>
      <c r="AA131" t="n">
        <v>0.0</v>
      </c>
      <c r="AB131"/>
      <c r="AC131" t="n">
        <v>4.0</v>
      </c>
      <c r="AD131" s="5" t="inlineStr">
        <is>
          <t>pcs</t>
        </is>
      </c>
      <c r="AE131"/>
      <c r="AF131" s="5" t="inlineStr">
        <is>
          <t>pcs</t>
        </is>
      </c>
      <c r="AG131"/>
      <c r="AH131" t="inlineStr">
        <is>
          <t>No</t>
        </is>
      </c>
      <c r="AI131" s="2" t="n">
        <v>45841.408784722225</v>
      </c>
      <c r="AJ131" s="1" t="n">
        <f>DATE(2025,7,3)</f>
        <v>0.0</v>
      </c>
      <c r="AK131" t="inlineStr">
        <is>
          <t>Picking</t>
        </is>
      </c>
      <c r="AL131" s="2" t="n">
        <v>42187.65131944444</v>
      </c>
      <c r="AM131"/>
      <c r="AN131"/>
      <c r="AO131" t="n">
        <v>0.0</v>
      </c>
      <c r="AP131" t="n">
        <v>0.0</v>
      </c>
      <c r="AQ131"/>
      <c r="AR131" t="n">
        <v>15.0</v>
      </c>
      <c r="AS131" t="n">
        <v>60.0</v>
      </c>
      <c r="AT131" s="5" t="inlineStr">
        <is>
          <t>AUD</t>
        </is>
      </c>
      <c r="AU131" t="inlineStr">
        <is>
          <t>Company Owned</t>
        </is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t="n">
        <v>0.0</v>
      </c>
      <c r="BK131"/>
      <c r="BL131"/>
      <c r="BM131"/>
      <c r="BN131"/>
      <c r="BO131"/>
      <c r="BP131"/>
      <c r="BQ131"/>
      <c r="BR131"/>
      <c r="BS131"/>
      <c r="BT131"/>
      <c r="BU131" t="inlineStr">
        <is>
          <t>Yes</t>
        </is>
      </c>
      <c r="BV131"/>
      <c r="BW131"/>
      <c r="BX131"/>
    </row>
    <row r="132">
      <c r="A132" s="5" t="inlineStr">
        <is>
          <t>SERV</t>
        </is>
      </c>
      <c r="B132" s="5" t="inlineStr">
        <is>
          <t>139853</t>
        </is>
      </c>
      <c r="C132" s="5" t="inlineStr">
        <is>
          <t>Union S/S 1/2 Sl X 3/4 M</t>
        </is>
      </c>
      <c r="D132" s="5" t="inlineStr">
        <is>
          <t>*</t>
        </is>
      </c>
      <c r="E132" s="5" t="inlineStr">
        <is>
          <t>602-060</t>
        </is>
      </c>
      <c r="F132" s="5" t="inlineStr">
        <is>
          <t>*</t>
        </is>
      </c>
      <c r="G132" s="5" t="inlineStr">
        <is>
          <t>*</t>
        </is>
      </c>
      <c r="H132"/>
      <c r="I132"/>
      <c r="J132" s="5" t="inlineStr">
        <is>
          <t>1</t>
        </is>
      </c>
      <c r="K132" s="5" t="inlineStr">
        <is>
          <t>*</t>
        </is>
      </c>
      <c r="L132" t="n">
        <v>0.0</v>
      </c>
      <c r="M132" s="5" t="inlineStr">
        <is>
          <t>602</t>
        </is>
      </c>
      <c r="N132" s="5" t="inlineStr">
        <is>
          <t xml:space="preserve">  -</t>
        </is>
      </c>
      <c r="O132" s="5" t="inlineStr">
        <is>
          <t xml:space="preserve">  -</t>
        </is>
      </c>
      <c r="P132" s="5" t="inlineStr">
        <is>
          <t xml:space="preserve">  -</t>
        </is>
      </c>
      <c r="Q132" s="5" t="inlineStr">
        <is>
          <t>060</t>
        </is>
      </c>
      <c r="R132"/>
      <c r="S132" t="n">
        <v>1.0</v>
      </c>
      <c r="T132"/>
      <c r="U132" t="n">
        <v>1.0</v>
      </c>
      <c r="V132"/>
      <c r="W132" t="n">
        <v>0.0</v>
      </c>
      <c r="X132" t="n">
        <v>0.0</v>
      </c>
      <c r="Y132" t="n">
        <v>0.0</v>
      </c>
      <c r="Z132"/>
      <c r="AA132" t="n">
        <v>0.0</v>
      </c>
      <c r="AB132"/>
      <c r="AC132" t="n">
        <v>1.0</v>
      </c>
      <c r="AD132" s="5" t="inlineStr">
        <is>
          <t>pcs</t>
        </is>
      </c>
      <c r="AE132"/>
      <c r="AF132" s="5" t="inlineStr">
        <is>
          <t>pcs</t>
        </is>
      </c>
      <c r="AG132"/>
      <c r="AH132" t="inlineStr">
        <is>
          <t>No</t>
        </is>
      </c>
      <c r="AI132" s="2" t="n">
        <v>45841.40898148148</v>
      </c>
      <c r="AJ132" s="1" t="n">
        <f>DATE(2024,8,15)</f>
        <v>0.0</v>
      </c>
      <c r="AK132" t="inlineStr">
        <is>
          <t>Picking</t>
        </is>
      </c>
      <c r="AL132" s="2" t="n">
        <v>43066.403333333335</v>
      </c>
      <c r="AM132"/>
      <c r="AN132"/>
      <c r="AO132" t="n">
        <v>0.0</v>
      </c>
      <c r="AP132" t="n">
        <v>0.0</v>
      </c>
      <c r="AQ132"/>
      <c r="AR132" t="n">
        <v>22.997133972256716</v>
      </c>
      <c r="AS132" t="n">
        <v>22.997133972256716</v>
      </c>
      <c r="AT132" s="5" t="inlineStr">
        <is>
          <t>AUD</t>
        </is>
      </c>
      <c r="AU132" t="inlineStr">
        <is>
          <t>Company Owned</t>
        </is>
      </c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t="n">
        <v>0.0</v>
      </c>
      <c r="BK132"/>
      <c r="BL132"/>
      <c r="BM132"/>
      <c r="BN132"/>
      <c r="BO132"/>
      <c r="BP132"/>
      <c r="BQ132"/>
      <c r="BR132"/>
      <c r="BS132"/>
      <c r="BT132"/>
      <c r="BU132" t="inlineStr">
        <is>
          <t>Yes</t>
        </is>
      </c>
      <c r="BV132"/>
      <c r="BW132"/>
      <c r="BX132"/>
    </row>
    <row r="133">
      <c r="A133" s="5" t="inlineStr">
        <is>
          <t>SERV</t>
        </is>
      </c>
      <c r="B133" s="5" t="inlineStr">
        <is>
          <t>139854</t>
        </is>
      </c>
      <c r="C133" s="5" t="inlineStr">
        <is>
          <t>Tee S/S Running 3/4 M X 12mm Sl X 1/2 Sl</t>
        </is>
      </c>
      <c r="D133" s="5" t="inlineStr">
        <is>
          <t>*</t>
        </is>
      </c>
      <c r="E133" s="5" t="inlineStr">
        <is>
          <t>602-060</t>
        </is>
      </c>
      <c r="F133" s="5" t="inlineStr">
        <is>
          <t>*</t>
        </is>
      </c>
      <c r="G133" s="5" t="inlineStr">
        <is>
          <t>*</t>
        </is>
      </c>
      <c r="H133"/>
      <c r="I133"/>
      <c r="J133" s="5" t="inlineStr">
        <is>
          <t>1</t>
        </is>
      </c>
      <c r="K133" s="5" t="inlineStr">
        <is>
          <t>*</t>
        </is>
      </c>
      <c r="L133" t="n">
        <v>0.0</v>
      </c>
      <c r="M133" s="5" t="inlineStr">
        <is>
          <t>602</t>
        </is>
      </c>
      <c r="N133" s="5" t="inlineStr">
        <is>
          <t xml:space="preserve">  -</t>
        </is>
      </c>
      <c r="O133" s="5" t="inlineStr">
        <is>
          <t xml:space="preserve">  -</t>
        </is>
      </c>
      <c r="P133" s="5" t="inlineStr">
        <is>
          <t xml:space="preserve">  -</t>
        </is>
      </c>
      <c r="Q133" s="5" t="inlineStr">
        <is>
          <t>060</t>
        </is>
      </c>
      <c r="R133"/>
      <c r="S133" t="n">
        <v>2.0</v>
      </c>
      <c r="T133"/>
      <c r="U133" t="n">
        <v>2.0</v>
      </c>
      <c r="V133"/>
      <c r="W133" t="n">
        <v>0.0</v>
      </c>
      <c r="X133" t="n">
        <v>0.0</v>
      </c>
      <c r="Y133" t="n">
        <v>0.0</v>
      </c>
      <c r="Z133"/>
      <c r="AA133" t="n">
        <v>0.0</v>
      </c>
      <c r="AB133"/>
      <c r="AC133" t="n">
        <v>2.0</v>
      </c>
      <c r="AD133" s="5" t="inlineStr">
        <is>
          <t>pcs</t>
        </is>
      </c>
      <c r="AE133"/>
      <c r="AF133" s="5" t="inlineStr">
        <is>
          <t>pcs</t>
        </is>
      </c>
      <c r="AG133"/>
      <c r="AH133" t="inlineStr">
        <is>
          <t>No</t>
        </is>
      </c>
      <c r="AI133" s="2" t="n">
        <v>45841.408784722225</v>
      </c>
      <c r="AJ133" s="1" t="n">
        <f>DATE(2025,7,3)</f>
        <v>0.0</v>
      </c>
      <c r="AK133" t="inlineStr">
        <is>
          <t>Picking</t>
        </is>
      </c>
      <c r="AL133" s="2" t="n">
        <v>41824.35424768519</v>
      </c>
      <c r="AM133"/>
      <c r="AN133"/>
      <c r="AO133" t="n">
        <v>0.0</v>
      </c>
      <c r="AP133" t="n">
        <v>0.0</v>
      </c>
      <c r="AQ133"/>
      <c r="AR133" t="n">
        <v>60.0</v>
      </c>
      <c r="AS133" t="n">
        <v>120.0</v>
      </c>
      <c r="AT133" s="5" t="inlineStr">
        <is>
          <t>AUD</t>
        </is>
      </c>
      <c r="AU133" t="inlineStr">
        <is>
          <t>Company Owned</t>
        </is>
      </c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t="n">
        <v>0.0</v>
      </c>
      <c r="BK133"/>
      <c r="BL133"/>
      <c r="BM133"/>
      <c r="BN133"/>
      <c r="BO133"/>
      <c r="BP133"/>
      <c r="BQ133"/>
      <c r="BR133"/>
      <c r="BS133"/>
      <c r="BT133"/>
      <c r="BU133" t="inlineStr">
        <is>
          <t>Yes</t>
        </is>
      </c>
      <c r="BV133"/>
      <c r="BW133"/>
      <c r="BX133"/>
    </row>
    <row r="134">
      <c r="A134" s="5" t="inlineStr">
        <is>
          <t>SERV</t>
        </is>
      </c>
      <c r="B134" s="5" t="inlineStr">
        <is>
          <t>139855</t>
        </is>
      </c>
      <c r="C134" s="5" t="inlineStr">
        <is>
          <t>Adapter S/S 3/4 Tube X 1/2 F</t>
        </is>
      </c>
      <c r="D134" s="5" t="inlineStr">
        <is>
          <t>*</t>
        </is>
      </c>
      <c r="E134" s="5" t="inlineStr">
        <is>
          <t>602-022</t>
        </is>
      </c>
      <c r="F134" s="5" t="inlineStr">
        <is>
          <t>*</t>
        </is>
      </c>
      <c r="G134" s="5" t="inlineStr">
        <is>
          <t>*</t>
        </is>
      </c>
      <c r="H134"/>
      <c r="I134"/>
      <c r="J134" s="5" t="inlineStr">
        <is>
          <t>1</t>
        </is>
      </c>
      <c r="K134" s="5" t="inlineStr">
        <is>
          <t>*</t>
        </is>
      </c>
      <c r="L134" t="n">
        <v>0.0</v>
      </c>
      <c r="M134" s="5" t="inlineStr">
        <is>
          <t>602</t>
        </is>
      </c>
      <c r="N134" s="5" t="inlineStr">
        <is>
          <t xml:space="preserve">  -</t>
        </is>
      </c>
      <c r="O134" s="5" t="inlineStr">
        <is>
          <t xml:space="preserve">  -</t>
        </is>
      </c>
      <c r="P134" s="5" t="inlineStr">
        <is>
          <t xml:space="preserve">  -</t>
        </is>
      </c>
      <c r="Q134" s="5" t="inlineStr">
        <is>
          <t>022</t>
        </is>
      </c>
      <c r="R134"/>
      <c r="S134" t="n">
        <v>2.0</v>
      </c>
      <c r="T134"/>
      <c r="U134" t="n">
        <v>2.0</v>
      </c>
      <c r="V134"/>
      <c r="W134" t="n">
        <v>0.0</v>
      </c>
      <c r="X134" t="n">
        <v>0.0</v>
      </c>
      <c r="Y134" t="n">
        <v>0.0</v>
      </c>
      <c r="Z134"/>
      <c r="AA134" t="n">
        <v>0.0</v>
      </c>
      <c r="AB134"/>
      <c r="AC134" t="n">
        <v>2.0</v>
      </c>
      <c r="AD134" s="5" t="inlineStr">
        <is>
          <t>pcs</t>
        </is>
      </c>
      <c r="AE134"/>
      <c r="AF134" s="5" t="inlineStr">
        <is>
          <t>pcs</t>
        </is>
      </c>
      <c r="AG134"/>
      <c r="AH134" t="inlineStr">
        <is>
          <t>No</t>
        </is>
      </c>
      <c r="AI134" s="2" t="n">
        <v>45841.40876157407</v>
      </c>
      <c r="AJ134" s="1" t="n">
        <f>DATE(2025,7,3)</f>
        <v>0.0</v>
      </c>
      <c r="AK134" t="inlineStr">
        <is>
          <t>Picking</t>
        </is>
      </c>
      <c r="AL134" s="2" t="n">
        <v>41376.5965162037</v>
      </c>
      <c r="AM134"/>
      <c r="AN134"/>
      <c r="AO134" t="n">
        <v>0.0</v>
      </c>
      <c r="AP134" t="n">
        <v>0.0</v>
      </c>
      <c r="AQ134"/>
      <c r="AR134" t="n">
        <v>23.5</v>
      </c>
      <c r="AS134" t="n">
        <v>47.0</v>
      </c>
      <c r="AT134" s="5" t="inlineStr">
        <is>
          <t>AUD</t>
        </is>
      </c>
      <c r="AU134" t="inlineStr">
        <is>
          <t>Company Owned</t>
        </is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t="n">
        <v>0.0</v>
      </c>
      <c r="BK134"/>
      <c r="BL134"/>
      <c r="BM134"/>
      <c r="BN134"/>
      <c r="BO134"/>
      <c r="BP134"/>
      <c r="BQ134"/>
      <c r="BR134"/>
      <c r="BS134"/>
      <c r="BT134"/>
      <c r="BU134" t="inlineStr">
        <is>
          <t>Yes</t>
        </is>
      </c>
      <c r="BV134"/>
      <c r="BW134"/>
      <c r="BX134"/>
    </row>
    <row r="135">
      <c r="A135" s="5" t="inlineStr">
        <is>
          <t>SERV</t>
        </is>
      </c>
      <c r="B135" s="5" t="inlineStr">
        <is>
          <t>830949</t>
        </is>
      </c>
      <c r="C135" s="5" t="inlineStr">
        <is>
          <t>Ferrule Brass 3/4 Hylok</t>
        </is>
      </c>
      <c r="D135" s="5" t="inlineStr">
        <is>
          <t>*</t>
        </is>
      </c>
      <c r="E135" s="5" t="inlineStr">
        <is>
          <t>602-022</t>
        </is>
      </c>
      <c r="F135" s="5" t="inlineStr">
        <is>
          <t>*</t>
        </is>
      </c>
      <c r="G135" s="5" t="inlineStr">
        <is>
          <t>*</t>
        </is>
      </c>
      <c r="H135"/>
      <c r="I135"/>
      <c r="J135" s="5" t="inlineStr">
        <is>
          <t>0</t>
        </is>
      </c>
      <c r="K135" s="5" t="inlineStr">
        <is>
          <t>*</t>
        </is>
      </c>
      <c r="L135" t="n">
        <v>0.0</v>
      </c>
      <c r="M135" s="5" t="inlineStr">
        <is>
          <t>602</t>
        </is>
      </c>
      <c r="N135" s="5" t="inlineStr">
        <is>
          <t xml:space="preserve">  -</t>
        </is>
      </c>
      <c r="O135" s="5" t="inlineStr">
        <is>
          <t xml:space="preserve">  -</t>
        </is>
      </c>
      <c r="P135" s="5" t="inlineStr">
        <is>
          <t xml:space="preserve">  -</t>
        </is>
      </c>
      <c r="Q135" s="5" t="inlineStr">
        <is>
          <t>022</t>
        </is>
      </c>
      <c r="R135"/>
      <c r="S135" t="n">
        <v>13.0</v>
      </c>
      <c r="T135"/>
      <c r="U135" t="n">
        <v>13.0</v>
      </c>
      <c r="V135"/>
      <c r="W135" t="n">
        <v>0.0</v>
      </c>
      <c r="X135" t="n">
        <v>0.0</v>
      </c>
      <c r="Y135" t="n">
        <v>0.0</v>
      </c>
      <c r="Z135"/>
      <c r="AA135" t="n">
        <v>0.0</v>
      </c>
      <c r="AB135"/>
      <c r="AC135" t="n">
        <v>13.0</v>
      </c>
      <c r="AD135" s="5" t="inlineStr">
        <is>
          <t>pcs</t>
        </is>
      </c>
      <c r="AE135"/>
      <c r="AF135" s="5" t="inlineStr">
        <is>
          <t>pcs</t>
        </is>
      </c>
      <c r="AG135"/>
      <c r="AH135" t="inlineStr">
        <is>
          <t>No</t>
        </is>
      </c>
      <c r="AI135" s="2" t="n">
        <v>45841.40876157407</v>
      </c>
      <c r="AJ135" s="1" t="n">
        <f>DATE(2025,7,3)</f>
        <v>0.0</v>
      </c>
      <c r="AK135" t="inlineStr">
        <is>
          <t>Picking</t>
        </is>
      </c>
      <c r="AL135" s="2" t="n">
        <v>41183.4434837963</v>
      </c>
      <c r="AM135"/>
      <c r="AN135"/>
      <c r="AO135" t="n">
        <v>0.0</v>
      </c>
      <c r="AP135" t="n">
        <v>0.0</v>
      </c>
      <c r="AQ135"/>
      <c r="AR135" t="n">
        <v>2.2187425481450185</v>
      </c>
      <c r="AS135" t="n">
        <v>28.84365312588524</v>
      </c>
      <c r="AT135" s="5" t="inlineStr">
        <is>
          <t>AUD</t>
        </is>
      </c>
      <c r="AU135" t="inlineStr">
        <is>
          <t>Company Owned</t>
        </is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t="n">
        <v>0.0</v>
      </c>
      <c r="BK135"/>
      <c r="BL135"/>
      <c r="BM135"/>
      <c r="BN135"/>
      <c r="BO135"/>
      <c r="BP135"/>
      <c r="BQ135"/>
      <c r="BR135"/>
      <c r="BS135"/>
      <c r="BT135"/>
      <c r="BU135" t="inlineStr">
        <is>
          <t>Yes</t>
        </is>
      </c>
      <c r="BV135"/>
      <c r="BW135"/>
      <c r="BX135"/>
    </row>
    <row r="136">
      <c r="A136" s="5" t="inlineStr">
        <is>
          <t>SERV</t>
        </is>
      </c>
      <c r="B136" s="5" t="inlineStr">
        <is>
          <t>830956</t>
        </is>
      </c>
      <c r="C136" s="5" t="inlineStr">
        <is>
          <t>Ferrule Brass 1 Hylok</t>
        </is>
      </c>
      <c r="D136" s="5" t="inlineStr">
        <is>
          <t>*</t>
        </is>
      </c>
      <c r="E136" s="5" t="inlineStr">
        <is>
          <t>602-060</t>
        </is>
      </c>
      <c r="F136" s="5" t="inlineStr">
        <is>
          <t>*</t>
        </is>
      </c>
      <c r="G136" s="5" t="inlineStr">
        <is>
          <t>*</t>
        </is>
      </c>
      <c r="H136"/>
      <c r="I136"/>
      <c r="J136" s="5" t="inlineStr">
        <is>
          <t>1</t>
        </is>
      </c>
      <c r="K136" s="5" t="inlineStr">
        <is>
          <t>*</t>
        </is>
      </c>
      <c r="L136" t="n">
        <v>0.0</v>
      </c>
      <c r="M136" s="5" t="inlineStr">
        <is>
          <t>602</t>
        </is>
      </c>
      <c r="N136" s="5" t="inlineStr">
        <is>
          <t xml:space="preserve">  -</t>
        </is>
      </c>
      <c r="O136" s="5" t="inlineStr">
        <is>
          <t xml:space="preserve">  -</t>
        </is>
      </c>
      <c r="P136" s="5" t="inlineStr">
        <is>
          <t xml:space="preserve">  -</t>
        </is>
      </c>
      <c r="Q136" s="5" t="inlineStr">
        <is>
          <t>060</t>
        </is>
      </c>
      <c r="R136"/>
      <c r="S136" t="n">
        <v>8.0</v>
      </c>
      <c r="T136"/>
      <c r="U136" t="n">
        <v>8.0</v>
      </c>
      <c r="V136"/>
      <c r="W136" t="n">
        <v>0.0</v>
      </c>
      <c r="X136" t="n">
        <v>0.0</v>
      </c>
      <c r="Y136" t="n">
        <v>0.0</v>
      </c>
      <c r="Z136"/>
      <c r="AA136" t="n">
        <v>0.0</v>
      </c>
      <c r="AB136"/>
      <c r="AC136" t="n">
        <v>8.0</v>
      </c>
      <c r="AD136" s="5" t="inlineStr">
        <is>
          <t>pcs</t>
        </is>
      </c>
      <c r="AE136"/>
      <c r="AF136" s="5" t="inlineStr">
        <is>
          <t>pcs</t>
        </is>
      </c>
      <c r="AG136"/>
      <c r="AH136" t="inlineStr">
        <is>
          <t>No</t>
        </is>
      </c>
      <c r="AI136" s="2" t="n">
        <v>45841.408796296295</v>
      </c>
      <c r="AJ136" s="1" t="n">
        <f>DATE(2025,7,3)</f>
        <v>0.0</v>
      </c>
      <c r="AK136" t="inlineStr">
        <is>
          <t>Picking</t>
        </is>
      </c>
      <c r="AL136" s="2" t="n">
        <v>41183.443506944444</v>
      </c>
      <c r="AM136"/>
      <c r="AN136"/>
      <c r="AO136" t="n">
        <v>0.0</v>
      </c>
      <c r="AP136" t="n">
        <v>0.0</v>
      </c>
      <c r="AQ136"/>
      <c r="AR136" t="n">
        <v>1.397162095814383</v>
      </c>
      <c r="AS136" t="n">
        <v>11.177296766515065</v>
      </c>
      <c r="AT136" s="5" t="inlineStr">
        <is>
          <t>AUD</t>
        </is>
      </c>
      <c r="AU136" t="inlineStr">
        <is>
          <t>Company Owned</t>
        </is>
      </c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t="n">
        <v>0.0</v>
      </c>
      <c r="BK136"/>
      <c r="BL136"/>
      <c r="BM136"/>
      <c r="BN136"/>
      <c r="BO136"/>
      <c r="BP136"/>
      <c r="BQ136"/>
      <c r="BR136"/>
      <c r="BS136"/>
      <c r="BT136"/>
      <c r="BU136" t="inlineStr">
        <is>
          <t>Yes</t>
        </is>
      </c>
      <c r="BV136"/>
      <c r="BW136"/>
      <c r="BX136"/>
    </row>
    <row r="137">
      <c r="A137" s="5" t="inlineStr">
        <is>
          <t>SERV</t>
        </is>
      </c>
      <c r="B137" s="5" t="inlineStr">
        <is>
          <t>830957</t>
        </is>
      </c>
      <c r="C137" s="5" t="inlineStr">
        <is>
          <t>Ferrule Teflon 1/4</t>
        </is>
      </c>
      <c r="D137" s="5" t="inlineStr">
        <is>
          <t>*</t>
        </is>
      </c>
      <c r="E137" s="5" t="inlineStr">
        <is>
          <t>602-001</t>
        </is>
      </c>
      <c r="F137" s="5" t="inlineStr">
        <is>
          <t>*</t>
        </is>
      </c>
      <c r="G137" s="5" t="inlineStr">
        <is>
          <t>*</t>
        </is>
      </c>
      <c r="H137"/>
      <c r="I137"/>
      <c r="J137" s="5" t="inlineStr">
        <is>
          <t>1</t>
        </is>
      </c>
      <c r="K137" s="5" t="inlineStr">
        <is>
          <t>*</t>
        </is>
      </c>
      <c r="L137" t="n">
        <v>0.0</v>
      </c>
      <c r="M137" s="5" t="inlineStr">
        <is>
          <t>602</t>
        </is>
      </c>
      <c r="N137" s="5" t="inlineStr">
        <is>
          <t xml:space="preserve">  -</t>
        </is>
      </c>
      <c r="O137" s="5" t="inlineStr">
        <is>
          <t xml:space="preserve">  -</t>
        </is>
      </c>
      <c r="P137" s="5" t="inlineStr">
        <is>
          <t xml:space="preserve">  -</t>
        </is>
      </c>
      <c r="Q137" s="5" t="inlineStr">
        <is>
          <t>001</t>
        </is>
      </c>
      <c r="R137"/>
      <c r="S137" t="n">
        <v>9.0</v>
      </c>
      <c r="T137"/>
      <c r="U137" t="n">
        <v>9.0</v>
      </c>
      <c r="V137"/>
      <c r="W137" t="n">
        <v>0.0</v>
      </c>
      <c r="X137" t="n">
        <v>0.0</v>
      </c>
      <c r="Y137" t="n">
        <v>0.0</v>
      </c>
      <c r="Z137"/>
      <c r="AA137" t="n">
        <v>0.0</v>
      </c>
      <c r="AB137"/>
      <c r="AC137" t="n">
        <v>9.0</v>
      </c>
      <c r="AD137" s="5" t="inlineStr">
        <is>
          <t>pcs</t>
        </is>
      </c>
      <c r="AE137"/>
      <c r="AF137" s="5" t="inlineStr">
        <is>
          <t>pcs</t>
        </is>
      </c>
      <c r="AG137"/>
      <c r="AH137" t="inlineStr">
        <is>
          <t>No</t>
        </is>
      </c>
      <c r="AI137" s="2" t="n">
        <v>45841.4087037037</v>
      </c>
      <c r="AJ137" s="1" t="n">
        <f>DATE(2025,7,3)</f>
        <v>0.0</v>
      </c>
      <c r="AK137" t="inlineStr">
        <is>
          <t>Picking</t>
        </is>
      </c>
      <c r="AL137" s="2" t="n">
        <v>44252.50340277778</v>
      </c>
      <c r="AM137"/>
      <c r="AN137"/>
      <c r="AO137" t="n">
        <v>0.0</v>
      </c>
      <c r="AP137" t="n">
        <v>0.0</v>
      </c>
      <c r="AQ137"/>
      <c r="AR137" t="n">
        <v>2.9970549168696756</v>
      </c>
      <c r="AS137" t="n">
        <v>26.97349425182708</v>
      </c>
      <c r="AT137" s="5" t="inlineStr">
        <is>
          <t>AUD</t>
        </is>
      </c>
      <c r="AU137" t="inlineStr">
        <is>
          <t>Company Owned</t>
        </is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t="n">
        <v>0.0</v>
      </c>
      <c r="BK137"/>
      <c r="BL137"/>
      <c r="BM137"/>
      <c r="BN137"/>
      <c r="BO137"/>
      <c r="BP137"/>
      <c r="BQ137"/>
      <c r="BR137"/>
      <c r="BS137"/>
      <c r="BT137"/>
      <c r="BU137" t="inlineStr">
        <is>
          <t>Yes</t>
        </is>
      </c>
      <c r="BV137"/>
      <c r="BW137"/>
      <c r="BX137"/>
    </row>
    <row r="138">
      <c r="A138" s="5" t="inlineStr">
        <is>
          <t>SERV</t>
        </is>
      </c>
      <c r="B138" s="5" t="inlineStr">
        <is>
          <t>138798</t>
        </is>
      </c>
      <c r="C138" s="5" t="inlineStr">
        <is>
          <t>PLC Power Supply CJ1W-PA202</t>
        </is>
      </c>
      <c r="D138" s="5" t="inlineStr">
        <is>
          <t>*</t>
        </is>
      </c>
      <c r="E138" s="5" t="inlineStr">
        <is>
          <t>602-060</t>
        </is>
      </c>
      <c r="F138" s="5" t="inlineStr">
        <is>
          <t>*</t>
        </is>
      </c>
      <c r="G138" s="5" t="inlineStr">
        <is>
          <t>*</t>
        </is>
      </c>
      <c r="H138"/>
      <c r="I138"/>
      <c r="J138" s="5" t="inlineStr">
        <is>
          <t>1</t>
        </is>
      </c>
      <c r="K138" s="5" t="inlineStr">
        <is>
          <t>*</t>
        </is>
      </c>
      <c r="L138" t="n">
        <v>0.0</v>
      </c>
      <c r="M138" s="5" t="inlineStr">
        <is>
          <t>602</t>
        </is>
      </c>
      <c r="N138" s="5" t="inlineStr">
        <is>
          <t xml:space="preserve">  -</t>
        </is>
      </c>
      <c r="O138" s="5" t="inlineStr">
        <is>
          <t xml:space="preserve">  -</t>
        </is>
      </c>
      <c r="P138" s="5" t="inlineStr">
        <is>
          <t xml:space="preserve">  -</t>
        </is>
      </c>
      <c r="Q138" s="5" t="inlineStr">
        <is>
          <t>060</t>
        </is>
      </c>
      <c r="R138"/>
      <c r="S138" t="n">
        <v>1.0</v>
      </c>
      <c r="T138"/>
      <c r="U138" t="n">
        <v>1.0</v>
      </c>
      <c r="V138"/>
      <c r="W138" t="n">
        <v>0.0</v>
      </c>
      <c r="X138" t="n">
        <v>0.0</v>
      </c>
      <c r="Y138" t="n">
        <v>0.0</v>
      </c>
      <c r="Z138"/>
      <c r="AA138" t="n">
        <v>0.0</v>
      </c>
      <c r="AB138"/>
      <c r="AC138" t="n">
        <v>1.0</v>
      </c>
      <c r="AD138" s="5" t="inlineStr">
        <is>
          <t>pcs</t>
        </is>
      </c>
      <c r="AE138"/>
      <c r="AF138" s="5" t="inlineStr">
        <is>
          <t>pcs</t>
        </is>
      </c>
      <c r="AG138"/>
      <c r="AH138" t="inlineStr">
        <is>
          <t>No</t>
        </is>
      </c>
      <c r="AI138" s="2" t="n">
        <v>45841.408784722225</v>
      </c>
      <c r="AJ138" s="1" t="n">
        <f>DATE(2025,7,3)</f>
        <v>0.0</v>
      </c>
      <c r="AK138" t="inlineStr">
        <is>
          <t>Picking</t>
        </is>
      </c>
      <c r="AL138" s="2" t="n">
        <v>43745.60549768519</v>
      </c>
      <c r="AM138"/>
      <c r="AN138"/>
      <c r="AO138" t="n">
        <v>0.0</v>
      </c>
      <c r="AP138" t="n">
        <v>1.0</v>
      </c>
      <c r="AQ138"/>
      <c r="AR138" t="n">
        <v>130.88</v>
      </c>
      <c r="AS138" t="n">
        <v>130.88</v>
      </c>
      <c r="AT138" s="5" t="inlineStr">
        <is>
          <t>AUD</t>
        </is>
      </c>
      <c r="AU138" t="inlineStr">
        <is>
          <t>Company Owned</t>
        </is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t="n">
        <v>0.0</v>
      </c>
      <c r="BK138"/>
      <c r="BL138"/>
      <c r="BM138"/>
      <c r="BN138"/>
      <c r="BO138"/>
      <c r="BP138"/>
      <c r="BQ138"/>
      <c r="BR138"/>
      <c r="BS138"/>
      <c r="BT138"/>
      <c r="BU138" t="inlineStr">
        <is>
          <t>Yes</t>
        </is>
      </c>
      <c r="BV138"/>
      <c r="BW138"/>
      <c r="BX138"/>
    </row>
    <row r="139">
      <c r="A139" s="5" t="inlineStr">
        <is>
          <t>SERV</t>
        </is>
      </c>
      <c r="B139" s="5" t="inlineStr">
        <is>
          <t>139874</t>
        </is>
      </c>
      <c r="C139" s="5" t="inlineStr">
        <is>
          <t>Plug S/S 3/4 BSP Square Head</t>
        </is>
      </c>
      <c r="D139" s="5" t="inlineStr">
        <is>
          <t>*</t>
        </is>
      </c>
      <c r="E139" s="5" t="inlineStr">
        <is>
          <t>602-022</t>
        </is>
      </c>
      <c r="F139" s="5" t="inlineStr">
        <is>
          <t>*</t>
        </is>
      </c>
      <c r="G139" s="5" t="inlineStr">
        <is>
          <t>*</t>
        </is>
      </c>
      <c r="H139"/>
      <c r="I139"/>
      <c r="J139" s="5" t="inlineStr">
        <is>
          <t>1</t>
        </is>
      </c>
      <c r="K139" s="5" t="inlineStr">
        <is>
          <t>*</t>
        </is>
      </c>
      <c r="L139" t="n">
        <v>0.0</v>
      </c>
      <c r="M139" s="5" t="inlineStr">
        <is>
          <t>602</t>
        </is>
      </c>
      <c r="N139" s="5" t="inlineStr">
        <is>
          <t xml:space="preserve">  -</t>
        </is>
      </c>
      <c r="O139" s="5" t="inlineStr">
        <is>
          <t xml:space="preserve">  -</t>
        </is>
      </c>
      <c r="P139" s="5" t="inlineStr">
        <is>
          <t xml:space="preserve">  -</t>
        </is>
      </c>
      <c r="Q139" s="5" t="inlineStr">
        <is>
          <t>022</t>
        </is>
      </c>
      <c r="R139"/>
      <c r="S139" t="n">
        <v>4.0</v>
      </c>
      <c r="T139"/>
      <c r="U139" t="n">
        <v>4.0</v>
      </c>
      <c r="V139"/>
      <c r="W139" t="n">
        <v>0.0</v>
      </c>
      <c r="X139" t="n">
        <v>0.0</v>
      </c>
      <c r="Y139" t="n">
        <v>0.0</v>
      </c>
      <c r="Z139"/>
      <c r="AA139" t="n">
        <v>0.0</v>
      </c>
      <c r="AB139"/>
      <c r="AC139" t="n">
        <v>4.0</v>
      </c>
      <c r="AD139" s="5" t="inlineStr">
        <is>
          <t>pcs</t>
        </is>
      </c>
      <c r="AE139"/>
      <c r="AF139" s="5" t="inlineStr">
        <is>
          <t>pcs</t>
        </is>
      </c>
      <c r="AG139"/>
      <c r="AH139" t="inlineStr">
        <is>
          <t>No</t>
        </is>
      </c>
      <c r="AI139" s="2" t="n">
        <v>45841.40876157407</v>
      </c>
      <c r="AJ139" s="1" t="n">
        <f>DATE(2025,7,3)</f>
        <v>0.0</v>
      </c>
      <c r="AK139" t="inlineStr">
        <is>
          <t>Picking</t>
        </is>
      </c>
      <c r="AL139" s="2" t="n">
        <v>41593.34908564815</v>
      </c>
      <c r="AM139"/>
      <c r="AN139"/>
      <c r="AO139" t="n">
        <v>0.0</v>
      </c>
      <c r="AP139" t="n">
        <v>0.0</v>
      </c>
      <c r="AQ139"/>
      <c r="AR139" t="n">
        <v>2.8344827586206898</v>
      </c>
      <c r="AS139" t="n">
        <v>11.337931034482759</v>
      </c>
      <c r="AT139" s="5" t="inlineStr">
        <is>
          <t>AUD</t>
        </is>
      </c>
      <c r="AU139" t="inlineStr">
        <is>
          <t>Company Owned</t>
        </is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t="n">
        <v>0.0</v>
      </c>
      <c r="BK139"/>
      <c r="BL139"/>
      <c r="BM139"/>
      <c r="BN139"/>
      <c r="BO139"/>
      <c r="BP139"/>
      <c r="BQ139"/>
      <c r="BR139"/>
      <c r="BS139"/>
      <c r="BT139"/>
      <c r="BU139" t="inlineStr">
        <is>
          <t>Yes</t>
        </is>
      </c>
      <c r="BV139"/>
      <c r="BW139"/>
      <c r="BX139"/>
    </row>
    <row r="140">
      <c r="A140" s="5" t="inlineStr">
        <is>
          <t>SERV</t>
        </is>
      </c>
      <c r="B140" s="5" t="inlineStr">
        <is>
          <t>139877</t>
        </is>
      </c>
      <c r="C140" s="5" t="inlineStr">
        <is>
          <t>Rtd 190 X 6 S/S Pt100 1/2 BSP 7M</t>
        </is>
      </c>
      <c r="D140" s="5" t="inlineStr">
        <is>
          <t>*</t>
        </is>
      </c>
      <c r="E140" s="5" t="inlineStr">
        <is>
          <t>602-004</t>
        </is>
      </c>
      <c r="F140" s="5" t="inlineStr">
        <is>
          <t>*</t>
        </is>
      </c>
      <c r="G140" s="5" t="inlineStr">
        <is>
          <t>*</t>
        </is>
      </c>
      <c r="H140"/>
      <c r="I140"/>
      <c r="J140" s="5" t="inlineStr">
        <is>
          <t>1</t>
        </is>
      </c>
      <c r="K140" s="5" t="inlineStr">
        <is>
          <t>*</t>
        </is>
      </c>
      <c r="L140" t="n">
        <v>0.0</v>
      </c>
      <c r="M140" s="5" t="inlineStr">
        <is>
          <t>602</t>
        </is>
      </c>
      <c r="N140" s="5" t="inlineStr">
        <is>
          <t xml:space="preserve">  -</t>
        </is>
      </c>
      <c r="O140" s="5" t="inlineStr">
        <is>
          <t xml:space="preserve">  -</t>
        </is>
      </c>
      <c r="P140" s="5" t="inlineStr">
        <is>
          <t xml:space="preserve">  -</t>
        </is>
      </c>
      <c r="Q140" s="5" t="inlineStr">
        <is>
          <t>004</t>
        </is>
      </c>
      <c r="R140"/>
      <c r="S140" t="n">
        <v>4.0</v>
      </c>
      <c r="T140"/>
      <c r="U140" t="n">
        <v>4.0</v>
      </c>
      <c r="V140"/>
      <c r="W140" t="n">
        <v>0.0</v>
      </c>
      <c r="X140" t="n">
        <v>0.0</v>
      </c>
      <c r="Y140" t="n">
        <v>0.0</v>
      </c>
      <c r="Z140"/>
      <c r="AA140" t="n">
        <v>0.0</v>
      </c>
      <c r="AB140"/>
      <c r="AC140" t="n">
        <v>4.0</v>
      </c>
      <c r="AD140" s="5" t="inlineStr">
        <is>
          <t>pcs</t>
        </is>
      </c>
      <c r="AE140"/>
      <c r="AF140" s="5" t="inlineStr">
        <is>
          <t>pcs</t>
        </is>
      </c>
      <c r="AG140"/>
      <c r="AH140" t="inlineStr">
        <is>
          <t>No</t>
        </is>
      </c>
      <c r="AI140" s="2" t="n">
        <v>45841.40871527778</v>
      </c>
      <c r="AJ140" s="1" t="n">
        <f>DATE(2025,7,3)</f>
        <v>0.0</v>
      </c>
      <c r="AK140" t="inlineStr">
        <is>
          <t>Picking</t>
        </is>
      </c>
      <c r="AL140" s="2" t="n">
        <v>41354.59961805555</v>
      </c>
      <c r="AM140"/>
      <c r="AN140"/>
      <c r="AO140" t="n">
        <v>0.0</v>
      </c>
      <c r="AP140" t="n">
        <v>0.0</v>
      </c>
      <c r="AQ140"/>
      <c r="AR140" t="n">
        <v>82.19719540229885</v>
      </c>
      <c r="AS140" t="n">
        <v>328.7887816091954</v>
      </c>
      <c r="AT140" s="5" t="inlineStr">
        <is>
          <t>AUD</t>
        </is>
      </c>
      <c r="AU140" t="inlineStr">
        <is>
          <t>Company Owned</t>
        </is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t="n">
        <v>0.0</v>
      </c>
      <c r="BK140"/>
      <c r="BL140"/>
      <c r="BM140"/>
      <c r="BN140"/>
      <c r="BO140"/>
      <c r="BP140"/>
      <c r="BQ140"/>
      <c r="BR140"/>
      <c r="BS140"/>
      <c r="BT140"/>
      <c r="BU140" t="inlineStr">
        <is>
          <t>Yes</t>
        </is>
      </c>
      <c r="BV140"/>
      <c r="BW140"/>
      <c r="BX140"/>
    </row>
    <row r="141">
      <c r="A141" s="5" t="inlineStr">
        <is>
          <t>SERV</t>
        </is>
      </c>
      <c r="B141" s="5" t="inlineStr">
        <is>
          <t>139884</t>
        </is>
      </c>
      <c r="C141" s="5" t="inlineStr">
        <is>
          <t>Plug S/S 1/4 Hylok</t>
        </is>
      </c>
      <c r="D141" s="5" t="inlineStr">
        <is>
          <t>*</t>
        </is>
      </c>
      <c r="E141" s="5" t="inlineStr">
        <is>
          <t>602-022</t>
        </is>
      </c>
      <c r="F141" s="5" t="inlineStr">
        <is>
          <t>*</t>
        </is>
      </c>
      <c r="G141" s="5" t="inlineStr">
        <is>
          <t>*</t>
        </is>
      </c>
      <c r="H141"/>
      <c r="I141"/>
      <c r="J141" s="5" t="inlineStr">
        <is>
          <t>1</t>
        </is>
      </c>
      <c r="K141" s="5" t="inlineStr">
        <is>
          <t>*</t>
        </is>
      </c>
      <c r="L141" t="n">
        <v>0.0</v>
      </c>
      <c r="M141" s="5" t="inlineStr">
        <is>
          <t>602</t>
        </is>
      </c>
      <c r="N141" s="5" t="inlineStr">
        <is>
          <t xml:space="preserve">  -</t>
        </is>
      </c>
      <c r="O141" s="5" t="inlineStr">
        <is>
          <t xml:space="preserve">  -</t>
        </is>
      </c>
      <c r="P141" s="5" t="inlineStr">
        <is>
          <t xml:space="preserve">  -</t>
        </is>
      </c>
      <c r="Q141" s="5" t="inlineStr">
        <is>
          <t>022</t>
        </is>
      </c>
      <c r="R141"/>
      <c r="S141" t="n">
        <v>4.0</v>
      </c>
      <c r="T141"/>
      <c r="U141" t="n">
        <v>4.0</v>
      </c>
      <c r="V141"/>
      <c r="W141" t="n">
        <v>0.0</v>
      </c>
      <c r="X141" t="n">
        <v>0.0</v>
      </c>
      <c r="Y141" t="n">
        <v>0.0</v>
      </c>
      <c r="Z141"/>
      <c r="AA141" t="n">
        <v>0.0</v>
      </c>
      <c r="AB141"/>
      <c r="AC141" t="n">
        <v>4.0</v>
      </c>
      <c r="AD141" s="5" t="inlineStr">
        <is>
          <t>pcs</t>
        </is>
      </c>
      <c r="AE141"/>
      <c r="AF141" s="5" t="inlineStr">
        <is>
          <t>pcs</t>
        </is>
      </c>
      <c r="AG141"/>
      <c r="AH141" t="inlineStr">
        <is>
          <t>No</t>
        </is>
      </c>
      <c r="AI141" s="2" t="n">
        <v>45841.40876157407</v>
      </c>
      <c r="AJ141" s="1" t="n">
        <f>DATE(2025,7,3)</f>
        <v>0.0</v>
      </c>
      <c r="AK141" t="inlineStr">
        <is>
          <t>Picking</t>
        </is>
      </c>
      <c r="AL141" s="2" t="n">
        <v>42871.597395833334</v>
      </c>
      <c r="AM141"/>
      <c r="AN141"/>
      <c r="AO141" t="n">
        <v>0.0</v>
      </c>
      <c r="AP141" t="n">
        <v>0.0</v>
      </c>
      <c r="AQ141"/>
      <c r="AR141" t="n">
        <v>4.925</v>
      </c>
      <c r="AS141" t="n">
        <v>19.7</v>
      </c>
      <c r="AT141" s="5" t="inlineStr">
        <is>
          <t>AUD</t>
        </is>
      </c>
      <c r="AU141" t="inlineStr">
        <is>
          <t>Company Owned</t>
        </is>
      </c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t="n">
        <v>0.0</v>
      </c>
      <c r="BK141"/>
      <c r="BL141"/>
      <c r="BM141"/>
      <c r="BN141"/>
      <c r="BO141"/>
      <c r="BP141"/>
      <c r="BQ141"/>
      <c r="BR141"/>
      <c r="BS141"/>
      <c r="BT141"/>
      <c r="BU141" t="inlineStr">
        <is>
          <t>Yes</t>
        </is>
      </c>
      <c r="BV141"/>
      <c r="BW141"/>
      <c r="BX141"/>
    </row>
    <row r="142">
      <c r="A142" s="5" t="inlineStr">
        <is>
          <t>SERV</t>
        </is>
      </c>
      <c r="B142" s="5" t="inlineStr">
        <is>
          <t>139887</t>
        </is>
      </c>
      <c r="C142" s="5" t="inlineStr">
        <is>
          <t>Plug S/S 1/2 BSP Square Head</t>
        </is>
      </c>
      <c r="D142" s="5" t="inlineStr">
        <is>
          <t>*</t>
        </is>
      </c>
      <c r="E142" s="5" t="inlineStr">
        <is>
          <t>602-022</t>
        </is>
      </c>
      <c r="F142" s="5" t="inlineStr">
        <is>
          <t>*</t>
        </is>
      </c>
      <c r="G142" s="5" t="inlineStr">
        <is>
          <t>*</t>
        </is>
      </c>
      <c r="H142"/>
      <c r="I142"/>
      <c r="J142" s="5" t="inlineStr">
        <is>
          <t>1</t>
        </is>
      </c>
      <c r="K142" s="5" t="inlineStr">
        <is>
          <t>*</t>
        </is>
      </c>
      <c r="L142" t="n">
        <v>0.0</v>
      </c>
      <c r="M142" s="5" t="inlineStr">
        <is>
          <t>602</t>
        </is>
      </c>
      <c r="N142" s="5" t="inlineStr">
        <is>
          <t xml:space="preserve">  -</t>
        </is>
      </c>
      <c r="O142" s="5" t="inlineStr">
        <is>
          <t xml:space="preserve">  -</t>
        </is>
      </c>
      <c r="P142" s="5" t="inlineStr">
        <is>
          <t xml:space="preserve">  -</t>
        </is>
      </c>
      <c r="Q142" s="5" t="inlineStr">
        <is>
          <t>022</t>
        </is>
      </c>
      <c r="R142"/>
      <c r="S142" t="n">
        <v>4.0</v>
      </c>
      <c r="T142"/>
      <c r="U142" t="n">
        <v>4.0</v>
      </c>
      <c r="V142"/>
      <c r="W142" t="n">
        <v>0.0</v>
      </c>
      <c r="X142" t="n">
        <v>0.0</v>
      </c>
      <c r="Y142" t="n">
        <v>0.0</v>
      </c>
      <c r="Z142"/>
      <c r="AA142" t="n">
        <v>0.0</v>
      </c>
      <c r="AB142"/>
      <c r="AC142" t="n">
        <v>4.0</v>
      </c>
      <c r="AD142" s="5" t="inlineStr">
        <is>
          <t>pcs</t>
        </is>
      </c>
      <c r="AE142"/>
      <c r="AF142" s="5" t="inlineStr">
        <is>
          <t>pcs</t>
        </is>
      </c>
      <c r="AG142"/>
      <c r="AH142" t="inlineStr">
        <is>
          <t>No</t>
        </is>
      </c>
      <c r="AI142" s="2" t="n">
        <v>45841.40876157407</v>
      </c>
      <c r="AJ142" s="1" t="n">
        <f>DATE(2025,7,3)</f>
        <v>0.0</v>
      </c>
      <c r="AK142" t="inlineStr">
        <is>
          <t>Picking</t>
        </is>
      </c>
      <c r="AL142" s="2" t="n">
        <v>42320.63511574074</v>
      </c>
      <c r="AM142"/>
      <c r="AN142"/>
      <c r="AO142" t="n">
        <v>0.0</v>
      </c>
      <c r="AP142" t="n">
        <v>0.0</v>
      </c>
      <c r="AQ142"/>
      <c r="AR142" t="n">
        <v>2.489358258928571</v>
      </c>
      <c r="AS142" t="n">
        <v>9.957433035714285</v>
      </c>
      <c r="AT142" s="5" t="inlineStr">
        <is>
          <t>AUD</t>
        </is>
      </c>
      <c r="AU142" t="inlineStr">
        <is>
          <t>Company Owned</t>
        </is>
      </c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t="n">
        <v>0.0</v>
      </c>
      <c r="BK142"/>
      <c r="BL142"/>
      <c r="BM142"/>
      <c r="BN142"/>
      <c r="BO142"/>
      <c r="BP142"/>
      <c r="BQ142"/>
      <c r="BR142"/>
      <c r="BS142"/>
      <c r="BT142"/>
      <c r="BU142" t="inlineStr">
        <is>
          <t>Yes</t>
        </is>
      </c>
      <c r="BV142"/>
      <c r="BW142"/>
      <c r="BX142"/>
    </row>
    <row r="143">
      <c r="A143" s="5" t="inlineStr">
        <is>
          <t>SERV</t>
        </is>
      </c>
      <c r="B143" s="5" t="inlineStr">
        <is>
          <t>137821</t>
        </is>
      </c>
      <c r="C143" s="5" t="inlineStr">
        <is>
          <t>Thermocouple K Type Probe</t>
        </is>
      </c>
      <c r="D143" s="5" t="inlineStr">
        <is>
          <t>*</t>
        </is>
      </c>
      <c r="E143" s="5" t="inlineStr">
        <is>
          <t>602-004</t>
        </is>
      </c>
      <c r="F143" s="5" t="inlineStr">
        <is>
          <t>*</t>
        </is>
      </c>
      <c r="G143" s="5" t="inlineStr">
        <is>
          <t>*</t>
        </is>
      </c>
      <c r="H143"/>
      <c r="I143"/>
      <c r="J143" s="5" t="inlineStr">
        <is>
          <t>0</t>
        </is>
      </c>
      <c r="K143" s="5" t="inlineStr">
        <is>
          <t>*</t>
        </is>
      </c>
      <c r="L143" t="n">
        <v>0.0</v>
      </c>
      <c r="M143" s="5" t="inlineStr">
        <is>
          <t>602</t>
        </is>
      </c>
      <c r="N143" s="5" t="inlineStr">
        <is>
          <t xml:space="preserve">  -</t>
        </is>
      </c>
      <c r="O143" s="5" t="inlineStr">
        <is>
          <t xml:space="preserve">  -</t>
        </is>
      </c>
      <c r="P143" s="5" t="inlineStr">
        <is>
          <t xml:space="preserve">  -</t>
        </is>
      </c>
      <c r="Q143" s="5" t="inlineStr">
        <is>
          <t>004</t>
        </is>
      </c>
      <c r="R143"/>
      <c r="S143" t="n">
        <v>1.0</v>
      </c>
      <c r="T143"/>
      <c r="U143" t="n">
        <v>1.0</v>
      </c>
      <c r="V143"/>
      <c r="W143" t="n">
        <v>0.0</v>
      </c>
      <c r="X143" t="n">
        <v>0.0</v>
      </c>
      <c r="Y143" t="n">
        <v>0.0</v>
      </c>
      <c r="Z143"/>
      <c r="AA143" t="n">
        <v>0.0</v>
      </c>
      <c r="AB143"/>
      <c r="AC143" t="n">
        <v>1.0</v>
      </c>
      <c r="AD143" s="5" t="inlineStr">
        <is>
          <t>pcs</t>
        </is>
      </c>
      <c r="AE143"/>
      <c r="AF143" s="5" t="inlineStr">
        <is>
          <t>pcs</t>
        </is>
      </c>
      <c r="AG143"/>
      <c r="AH143" t="inlineStr">
        <is>
          <t>No</t>
        </is>
      </c>
      <c r="AI143" s="2" t="n">
        <v>45841.40871527778</v>
      </c>
      <c r="AJ143" s="1" t="n">
        <f>DATE(2025,7,3)</f>
        <v>0.0</v>
      </c>
      <c r="AK143" t="inlineStr">
        <is>
          <t>Picking</t>
        </is>
      </c>
      <c r="AL143" s="2" t="n">
        <v>45512.541666666664</v>
      </c>
      <c r="AM143"/>
      <c r="AN143"/>
      <c r="AO143" t="n">
        <v>0.0</v>
      </c>
      <c r="AP143" t="n">
        <v>0.0</v>
      </c>
      <c r="AQ143"/>
      <c r="AR143" t="n">
        <v>25.008408715863403</v>
      </c>
      <c r="AS143" t="n">
        <v>25.008408715863403</v>
      </c>
      <c r="AT143" s="5" t="inlineStr">
        <is>
          <t>AUD</t>
        </is>
      </c>
      <c r="AU143" t="inlineStr">
        <is>
          <t>Company Owned</t>
        </is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t="n">
        <v>0.0</v>
      </c>
      <c r="BK143"/>
      <c r="BL143"/>
      <c r="BM143"/>
      <c r="BN143"/>
      <c r="BO143"/>
      <c r="BP143"/>
      <c r="BQ143"/>
      <c r="BR143"/>
      <c r="BS143"/>
      <c r="BT143"/>
      <c r="BU143" t="inlineStr">
        <is>
          <t>Yes</t>
        </is>
      </c>
      <c r="BV143"/>
      <c r="BW143"/>
      <c r="BX143"/>
    </row>
    <row r="144">
      <c r="A144" s="5" t="inlineStr">
        <is>
          <t>SERV</t>
        </is>
      </c>
      <c r="B144" s="5" t="inlineStr">
        <is>
          <t>137822</t>
        </is>
      </c>
      <c r="C144" s="5" t="inlineStr">
        <is>
          <t>Thermocouple K Ty Probe 3/8BSP</t>
        </is>
      </c>
      <c r="D144" s="5" t="inlineStr">
        <is>
          <t>*</t>
        </is>
      </c>
      <c r="E144" s="5" t="inlineStr">
        <is>
          <t>602-004</t>
        </is>
      </c>
      <c r="F144" s="5" t="inlineStr">
        <is>
          <t>*</t>
        </is>
      </c>
      <c r="G144" s="5" t="inlineStr">
        <is>
          <t>*</t>
        </is>
      </c>
      <c r="H144"/>
      <c r="I144"/>
      <c r="J144" s="5" t="inlineStr">
        <is>
          <t>0</t>
        </is>
      </c>
      <c r="K144" s="5" t="inlineStr">
        <is>
          <t>*</t>
        </is>
      </c>
      <c r="L144" t="n">
        <v>0.0</v>
      </c>
      <c r="M144" s="5" t="inlineStr">
        <is>
          <t>602</t>
        </is>
      </c>
      <c r="N144" s="5" t="inlineStr">
        <is>
          <t xml:space="preserve">  -</t>
        </is>
      </c>
      <c r="O144" s="5" t="inlineStr">
        <is>
          <t xml:space="preserve">  -</t>
        </is>
      </c>
      <c r="P144" s="5" t="inlineStr">
        <is>
          <t xml:space="preserve">  -</t>
        </is>
      </c>
      <c r="Q144" s="5" t="inlineStr">
        <is>
          <t>004</t>
        </is>
      </c>
      <c r="R144"/>
      <c r="S144" t="n">
        <v>2.0</v>
      </c>
      <c r="T144"/>
      <c r="U144" t="n">
        <v>2.0</v>
      </c>
      <c r="V144"/>
      <c r="W144" t="n">
        <v>0.0</v>
      </c>
      <c r="X144" t="n">
        <v>0.0</v>
      </c>
      <c r="Y144" t="n">
        <v>0.0</v>
      </c>
      <c r="Z144"/>
      <c r="AA144" t="n">
        <v>0.0</v>
      </c>
      <c r="AB144"/>
      <c r="AC144" t="n">
        <v>2.0</v>
      </c>
      <c r="AD144" s="5" t="inlineStr">
        <is>
          <t>pcs</t>
        </is>
      </c>
      <c r="AE144"/>
      <c r="AF144" s="5" t="inlineStr">
        <is>
          <t>pcs</t>
        </is>
      </c>
      <c r="AG144"/>
      <c r="AH144" t="inlineStr">
        <is>
          <t>No</t>
        </is>
      </c>
      <c r="AI144" s="2" t="n">
        <v>45841.40871527778</v>
      </c>
      <c r="AJ144" s="1" t="n">
        <f>DATE(2025,7,3)</f>
        <v>0.0</v>
      </c>
      <c r="AK144" t="inlineStr">
        <is>
          <t>Picking</t>
        </is>
      </c>
      <c r="AL144" s="2" t="n">
        <v>41183.445023148146</v>
      </c>
      <c r="AM144"/>
      <c r="AN144"/>
      <c r="AO144" t="n">
        <v>0.0</v>
      </c>
      <c r="AP144" t="n">
        <v>0.0</v>
      </c>
      <c r="AQ144"/>
      <c r="AR144" t="n">
        <v>41.0726756598887</v>
      </c>
      <c r="AS144" t="n">
        <v>82.1453513197774</v>
      </c>
      <c r="AT144" s="5" t="inlineStr">
        <is>
          <t>AUD</t>
        </is>
      </c>
      <c r="AU144" t="inlineStr">
        <is>
          <t>Company Owned</t>
        </is>
      </c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t="n">
        <v>0.0</v>
      </c>
      <c r="BK144"/>
      <c r="BL144"/>
      <c r="BM144"/>
      <c r="BN144"/>
      <c r="BO144"/>
      <c r="BP144"/>
      <c r="BQ144"/>
      <c r="BR144"/>
      <c r="BS144"/>
      <c r="BT144"/>
      <c r="BU144" t="inlineStr">
        <is>
          <t>Yes</t>
        </is>
      </c>
      <c r="BV144"/>
      <c r="BW144"/>
      <c r="BX144"/>
    </row>
    <row r="145">
      <c r="A145" s="5" t="inlineStr">
        <is>
          <t>SERV</t>
        </is>
      </c>
      <c r="B145" s="5" t="inlineStr">
        <is>
          <t>138820</t>
        </is>
      </c>
      <c r="C145" s="5" t="inlineStr">
        <is>
          <t>Relay LY2N 240VAC DPDT 10A</t>
        </is>
      </c>
      <c r="D145" s="5" t="inlineStr">
        <is>
          <t>*</t>
        </is>
      </c>
      <c r="E145" s="5" t="inlineStr">
        <is>
          <t>602-060</t>
        </is>
      </c>
      <c r="F145" s="5" t="inlineStr">
        <is>
          <t>*</t>
        </is>
      </c>
      <c r="G145" s="5" t="inlineStr">
        <is>
          <t>*</t>
        </is>
      </c>
      <c r="H145"/>
      <c r="I145"/>
      <c r="J145" s="5" t="inlineStr">
        <is>
          <t>1</t>
        </is>
      </c>
      <c r="K145" s="5" t="inlineStr">
        <is>
          <t>*</t>
        </is>
      </c>
      <c r="L145" t="n">
        <v>0.0</v>
      </c>
      <c r="M145" s="5" t="inlineStr">
        <is>
          <t>602</t>
        </is>
      </c>
      <c r="N145" s="5" t="inlineStr">
        <is>
          <t xml:space="preserve">  -</t>
        </is>
      </c>
      <c r="O145" s="5" t="inlineStr">
        <is>
          <t xml:space="preserve">  -</t>
        </is>
      </c>
      <c r="P145" s="5" t="inlineStr">
        <is>
          <t xml:space="preserve">  -</t>
        </is>
      </c>
      <c r="Q145" s="5" t="inlineStr">
        <is>
          <t>060</t>
        </is>
      </c>
      <c r="R145"/>
      <c r="S145" t="n">
        <v>1.0</v>
      </c>
      <c r="T145"/>
      <c r="U145" t="n">
        <v>1.0</v>
      </c>
      <c r="V145"/>
      <c r="W145" t="n">
        <v>0.0</v>
      </c>
      <c r="X145" t="n">
        <v>0.0</v>
      </c>
      <c r="Y145" t="n">
        <v>0.0</v>
      </c>
      <c r="Z145"/>
      <c r="AA145" t="n">
        <v>0.0</v>
      </c>
      <c r="AB145"/>
      <c r="AC145" t="n">
        <v>1.0</v>
      </c>
      <c r="AD145" s="5" t="inlineStr">
        <is>
          <t>pcs</t>
        </is>
      </c>
      <c r="AE145"/>
      <c r="AF145" s="5" t="inlineStr">
        <is>
          <t>pcs</t>
        </is>
      </c>
      <c r="AG145"/>
      <c r="AH145" t="inlineStr">
        <is>
          <t>No</t>
        </is>
      </c>
      <c r="AI145" s="2" t="n">
        <v>45841.408784722225</v>
      </c>
      <c r="AJ145" s="1" t="n">
        <f>DATE(2025,7,3)</f>
        <v>0.0</v>
      </c>
      <c r="AK145" t="inlineStr">
        <is>
          <t>Picking</t>
        </is>
      </c>
      <c r="AL145" s="2" t="n">
        <v>44867.651967592596</v>
      </c>
      <c r="AM145"/>
      <c r="AN145"/>
      <c r="AO145" t="n">
        <v>0.0</v>
      </c>
      <c r="AP145" t="n">
        <v>0.0</v>
      </c>
      <c r="AQ145"/>
      <c r="AR145" t="n">
        <v>10.29425</v>
      </c>
      <c r="AS145" t="n">
        <v>10.29425</v>
      </c>
      <c r="AT145" s="5" t="inlineStr">
        <is>
          <t>AUD</t>
        </is>
      </c>
      <c r="AU145" t="inlineStr">
        <is>
          <t>Company Owned</t>
        </is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t="n">
        <v>0.0</v>
      </c>
      <c r="BK145"/>
      <c r="BL145"/>
      <c r="BM145"/>
      <c r="BN145"/>
      <c r="BO145"/>
      <c r="BP145"/>
      <c r="BQ145"/>
      <c r="BR145"/>
      <c r="BS145"/>
      <c r="BT145"/>
      <c r="BU145" t="inlineStr">
        <is>
          <t>Yes</t>
        </is>
      </c>
      <c r="BV145"/>
      <c r="BW145"/>
      <c r="BX145"/>
    </row>
    <row r="146">
      <c r="A146" s="5" t="inlineStr">
        <is>
          <t>SERV</t>
        </is>
      </c>
      <c r="B146" s="5" t="inlineStr">
        <is>
          <t>138838</t>
        </is>
      </c>
      <c r="C146" s="5" t="inlineStr">
        <is>
          <t>Union Brass 3/4 Sl X 3/4 M</t>
        </is>
      </c>
      <c r="D146" s="5" t="inlineStr">
        <is>
          <t>*</t>
        </is>
      </c>
      <c r="E146" s="5" t="inlineStr">
        <is>
          <t>602-022</t>
        </is>
      </c>
      <c r="F146" s="5" t="inlineStr">
        <is>
          <t>*</t>
        </is>
      </c>
      <c r="G146" s="5" t="inlineStr">
        <is>
          <t>*</t>
        </is>
      </c>
      <c r="H146"/>
      <c r="I146"/>
      <c r="J146" s="5" t="inlineStr">
        <is>
          <t>0</t>
        </is>
      </c>
      <c r="K146" s="5" t="inlineStr">
        <is>
          <t>*</t>
        </is>
      </c>
      <c r="L146" t="n">
        <v>0.0</v>
      </c>
      <c r="M146" s="5" t="inlineStr">
        <is>
          <t>602</t>
        </is>
      </c>
      <c r="N146" s="5" t="inlineStr">
        <is>
          <t xml:space="preserve">  -</t>
        </is>
      </c>
      <c r="O146" s="5" t="inlineStr">
        <is>
          <t xml:space="preserve">  -</t>
        </is>
      </c>
      <c r="P146" s="5" t="inlineStr">
        <is>
          <t xml:space="preserve">  -</t>
        </is>
      </c>
      <c r="Q146" s="5" t="inlineStr">
        <is>
          <t>022</t>
        </is>
      </c>
      <c r="R146"/>
      <c r="S146" t="n">
        <v>1.0</v>
      </c>
      <c r="T146"/>
      <c r="U146" t="n">
        <v>1.0</v>
      </c>
      <c r="V146"/>
      <c r="W146" t="n">
        <v>0.0</v>
      </c>
      <c r="X146" t="n">
        <v>0.0</v>
      </c>
      <c r="Y146" t="n">
        <v>0.0</v>
      </c>
      <c r="Z146"/>
      <c r="AA146" t="n">
        <v>0.0</v>
      </c>
      <c r="AB146"/>
      <c r="AC146" t="n">
        <v>1.0</v>
      </c>
      <c r="AD146" s="5" t="inlineStr">
        <is>
          <t>pcs</t>
        </is>
      </c>
      <c r="AE146"/>
      <c r="AF146" s="5" t="inlineStr">
        <is>
          <t>pcs</t>
        </is>
      </c>
      <c r="AG146"/>
      <c r="AH146" t="inlineStr">
        <is>
          <t>No</t>
        </is>
      </c>
      <c r="AI146" s="2" t="n">
        <v>45841.40875</v>
      </c>
      <c r="AJ146" s="1" t="n">
        <f>DATE(2025,7,3)</f>
        <v>0.0</v>
      </c>
      <c r="AK146" t="inlineStr">
        <is>
          <t>Picking</t>
        </is>
      </c>
      <c r="AL146" s="2" t="n">
        <v>44336.593981481485</v>
      </c>
      <c r="AM146"/>
      <c r="AN146"/>
      <c r="AO146" t="n">
        <v>0.0</v>
      </c>
      <c r="AP146" t="n">
        <v>0.0</v>
      </c>
      <c r="AQ146"/>
      <c r="AR146" t="n">
        <v>0.01</v>
      </c>
      <c r="AS146" t="n">
        <v>0.01</v>
      </c>
      <c r="AT146" s="5" t="inlineStr">
        <is>
          <t>AUD</t>
        </is>
      </c>
      <c r="AU146" t="inlineStr">
        <is>
          <t>Company Owned</t>
        </is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t="n">
        <v>0.0</v>
      </c>
      <c r="BK146"/>
      <c r="BL146"/>
      <c r="BM146"/>
      <c r="BN146"/>
      <c r="BO146"/>
      <c r="BP146"/>
      <c r="BQ146"/>
      <c r="BR146"/>
      <c r="BS146"/>
      <c r="BT146"/>
      <c r="BU146" t="inlineStr">
        <is>
          <t>Yes</t>
        </is>
      </c>
      <c r="BV146"/>
      <c r="BW146"/>
      <c r="BX146"/>
    </row>
    <row r="147">
      <c r="A147" s="5" t="inlineStr">
        <is>
          <t>SERV</t>
        </is>
      </c>
      <c r="B147" s="5" t="inlineStr">
        <is>
          <t>137872</t>
        </is>
      </c>
      <c r="C147" s="5" t="inlineStr">
        <is>
          <t>Switch Horizontal Float</t>
        </is>
      </c>
      <c r="D147" s="5" t="inlineStr">
        <is>
          <t>*</t>
        </is>
      </c>
      <c r="E147" s="5" t="inlineStr">
        <is>
          <t>602-060</t>
        </is>
      </c>
      <c r="F147" s="5" t="inlineStr">
        <is>
          <t>*</t>
        </is>
      </c>
      <c r="G147" s="5" t="inlineStr">
        <is>
          <t>*</t>
        </is>
      </c>
      <c r="H147"/>
      <c r="I147"/>
      <c r="J147" s="5" t="inlineStr">
        <is>
          <t>1</t>
        </is>
      </c>
      <c r="K147" s="5" t="inlineStr">
        <is>
          <t>*</t>
        </is>
      </c>
      <c r="L147" t="n">
        <v>0.0</v>
      </c>
      <c r="M147" s="5" t="inlineStr">
        <is>
          <t>602</t>
        </is>
      </c>
      <c r="N147" s="5" t="inlineStr">
        <is>
          <t xml:space="preserve">  -</t>
        </is>
      </c>
      <c r="O147" s="5" t="inlineStr">
        <is>
          <t xml:space="preserve">  -</t>
        </is>
      </c>
      <c r="P147" s="5" t="inlineStr">
        <is>
          <t xml:space="preserve">  -</t>
        </is>
      </c>
      <c r="Q147" s="5" t="inlineStr">
        <is>
          <t>060</t>
        </is>
      </c>
      <c r="R147"/>
      <c r="S147" t="n">
        <v>1.0</v>
      </c>
      <c r="T147"/>
      <c r="U147" t="n">
        <v>1.0</v>
      </c>
      <c r="V147"/>
      <c r="W147" t="n">
        <v>0.0</v>
      </c>
      <c r="X147" t="n">
        <v>0.0</v>
      </c>
      <c r="Y147" t="n">
        <v>0.0</v>
      </c>
      <c r="Z147"/>
      <c r="AA147" t="n">
        <v>0.0</v>
      </c>
      <c r="AB147"/>
      <c r="AC147" t="n">
        <v>1.0</v>
      </c>
      <c r="AD147" s="5" t="inlineStr">
        <is>
          <t>pcs</t>
        </is>
      </c>
      <c r="AE147"/>
      <c r="AF147" s="5" t="inlineStr">
        <is>
          <t>pcs</t>
        </is>
      </c>
      <c r="AG147"/>
      <c r="AH147" t="inlineStr">
        <is>
          <t>No</t>
        </is>
      </c>
      <c r="AI147" s="2" t="n">
        <v>45841.408784722225</v>
      </c>
      <c r="AJ147" s="1" t="n">
        <f>DATE(2025,7,3)</f>
        <v>0.0</v>
      </c>
      <c r="AK147" t="inlineStr">
        <is>
          <t>Picking</t>
        </is>
      </c>
      <c r="AL147" s="2" t="n">
        <v>44088.285578703704</v>
      </c>
      <c r="AM147"/>
      <c r="AN147"/>
      <c r="AO147" t="n">
        <v>0.0</v>
      </c>
      <c r="AP147" t="n">
        <v>0.0</v>
      </c>
      <c r="AQ147"/>
      <c r="AR147" t="n">
        <v>50.115</v>
      </c>
      <c r="AS147" t="n">
        <v>50.115</v>
      </c>
      <c r="AT147" s="5" t="inlineStr">
        <is>
          <t>AUD</t>
        </is>
      </c>
      <c r="AU147" t="inlineStr">
        <is>
          <t>Company Owned</t>
        </is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t="n">
        <v>0.0</v>
      </c>
      <c r="BK147"/>
      <c r="BL147"/>
      <c r="BM147"/>
      <c r="BN147"/>
      <c r="BO147"/>
      <c r="BP147"/>
      <c r="BQ147"/>
      <c r="BR147"/>
      <c r="BS147"/>
      <c r="BT147"/>
      <c r="BU147" t="inlineStr">
        <is>
          <t>Yes</t>
        </is>
      </c>
      <c r="BV147"/>
      <c r="BW147"/>
      <c r="BX147"/>
    </row>
    <row r="148">
      <c r="A148" s="5" t="inlineStr">
        <is>
          <t>SERV</t>
        </is>
      </c>
      <c r="B148" s="5" t="inlineStr">
        <is>
          <t>138853</t>
        </is>
      </c>
      <c r="C148" s="5" t="inlineStr">
        <is>
          <t>Tee Brass 3/4 Sl</t>
        </is>
      </c>
      <c r="D148" s="5" t="inlineStr">
        <is>
          <t>*</t>
        </is>
      </c>
      <c r="E148" s="5" t="inlineStr">
        <is>
          <t>602-022</t>
        </is>
      </c>
      <c r="F148" s="5" t="inlineStr">
        <is>
          <t>*</t>
        </is>
      </c>
      <c r="G148" s="5" t="inlineStr">
        <is>
          <t>*</t>
        </is>
      </c>
      <c r="H148"/>
      <c r="I148"/>
      <c r="J148" s="5" t="inlineStr">
        <is>
          <t>0</t>
        </is>
      </c>
      <c r="K148" s="5" t="inlineStr">
        <is>
          <t>*</t>
        </is>
      </c>
      <c r="L148" t="n">
        <v>0.0</v>
      </c>
      <c r="M148" s="5" t="inlineStr">
        <is>
          <t>602</t>
        </is>
      </c>
      <c r="N148" s="5" t="inlineStr">
        <is>
          <t xml:space="preserve">  -</t>
        </is>
      </c>
      <c r="O148" s="5" t="inlineStr">
        <is>
          <t xml:space="preserve">  -</t>
        </is>
      </c>
      <c r="P148" s="5" t="inlineStr">
        <is>
          <t xml:space="preserve">  -</t>
        </is>
      </c>
      <c r="Q148" s="5" t="inlineStr">
        <is>
          <t>022</t>
        </is>
      </c>
      <c r="R148"/>
      <c r="S148" t="n">
        <v>1.0</v>
      </c>
      <c r="T148"/>
      <c r="U148" t="n">
        <v>1.0</v>
      </c>
      <c r="V148"/>
      <c r="W148" t="n">
        <v>0.0</v>
      </c>
      <c r="X148" t="n">
        <v>0.0</v>
      </c>
      <c r="Y148" t="n">
        <v>0.0</v>
      </c>
      <c r="Z148"/>
      <c r="AA148" t="n">
        <v>0.0</v>
      </c>
      <c r="AB148"/>
      <c r="AC148" t="n">
        <v>1.0</v>
      </c>
      <c r="AD148" s="5" t="inlineStr">
        <is>
          <t>pcs</t>
        </is>
      </c>
      <c r="AE148"/>
      <c r="AF148" s="5" t="inlineStr">
        <is>
          <t>pcs</t>
        </is>
      </c>
      <c r="AG148"/>
      <c r="AH148" t="inlineStr">
        <is>
          <t>No</t>
        </is>
      </c>
      <c r="AI148" s="2" t="n">
        <v>45841.40875</v>
      </c>
      <c r="AJ148" s="1" t="n">
        <f>DATE(2025,7,3)</f>
        <v>0.0</v>
      </c>
      <c r="AK148" t="inlineStr">
        <is>
          <t>Picking</t>
        </is>
      </c>
      <c r="AL148" s="2" t="n">
        <v>44336.59400462963</v>
      </c>
      <c r="AM148"/>
      <c r="AN148"/>
      <c r="AO148" t="n">
        <v>0.0</v>
      </c>
      <c r="AP148" t="n">
        <v>0.0</v>
      </c>
      <c r="AQ148"/>
      <c r="AR148" t="n">
        <v>0.01</v>
      </c>
      <c r="AS148" t="n">
        <v>0.01</v>
      </c>
      <c r="AT148" s="5" t="inlineStr">
        <is>
          <t>AUD</t>
        </is>
      </c>
      <c r="AU148" t="inlineStr">
        <is>
          <t>Company Owned</t>
        </is>
      </c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t="n">
        <v>0.0</v>
      </c>
      <c r="BK148"/>
      <c r="BL148"/>
      <c r="BM148"/>
      <c r="BN148"/>
      <c r="BO148"/>
      <c r="BP148"/>
      <c r="BQ148"/>
      <c r="BR148"/>
      <c r="BS148"/>
      <c r="BT148"/>
      <c r="BU148" t="inlineStr">
        <is>
          <t>Yes</t>
        </is>
      </c>
      <c r="BV148"/>
      <c r="BW148"/>
      <c r="BX148"/>
    </row>
    <row r="149">
      <c r="A149" s="5" t="inlineStr">
        <is>
          <t>SERV</t>
        </is>
      </c>
      <c r="B149" s="5" t="inlineStr">
        <is>
          <t>138873</t>
        </is>
      </c>
      <c r="C149" s="5" t="inlineStr">
        <is>
          <t>Valve Safety 1/2 Hero Tang 260</t>
        </is>
      </c>
      <c r="D149" s="5" t="inlineStr">
        <is>
          <t>*</t>
        </is>
      </c>
      <c r="E149" s="5" t="inlineStr">
        <is>
          <t>602-007</t>
        </is>
      </c>
      <c r="F149" s="5" t="inlineStr">
        <is>
          <t>*</t>
        </is>
      </c>
      <c r="G149" s="5" t="inlineStr">
        <is>
          <t>4284383</t>
        </is>
      </c>
      <c r="H149"/>
      <c r="I149"/>
      <c r="J149" s="5" t="inlineStr">
        <is>
          <t>0</t>
        </is>
      </c>
      <c r="K149" s="5" t="inlineStr">
        <is>
          <t>*</t>
        </is>
      </c>
      <c r="L149" t="n">
        <v>0.0</v>
      </c>
      <c r="M149" s="5" t="inlineStr">
        <is>
          <t>602</t>
        </is>
      </c>
      <c r="N149" s="5" t="inlineStr">
        <is>
          <t xml:space="preserve">  -</t>
        </is>
      </c>
      <c r="O149" s="5" t="inlineStr">
        <is>
          <t xml:space="preserve">  -</t>
        </is>
      </c>
      <c r="P149" s="5" t="inlineStr">
        <is>
          <t xml:space="preserve">  -</t>
        </is>
      </c>
      <c r="Q149" s="5" t="inlineStr">
        <is>
          <t>007</t>
        </is>
      </c>
      <c r="R149"/>
      <c r="S149" t="n">
        <v>1.0</v>
      </c>
      <c r="T149"/>
      <c r="U149" t="n">
        <v>1.0</v>
      </c>
      <c r="V149"/>
      <c r="W149" t="n">
        <v>0.0</v>
      </c>
      <c r="X149" t="n">
        <v>0.0</v>
      </c>
      <c r="Y149" t="n">
        <v>0.0</v>
      </c>
      <c r="Z149"/>
      <c r="AA149" t="n">
        <v>0.0</v>
      </c>
      <c r="AB149"/>
      <c r="AC149" t="n">
        <v>1.0</v>
      </c>
      <c r="AD149" s="5" t="inlineStr">
        <is>
          <t>pcs</t>
        </is>
      </c>
      <c r="AE149"/>
      <c r="AF149" s="5" t="inlineStr">
        <is>
          <t>pcs</t>
        </is>
      </c>
      <c r="AG149"/>
      <c r="AH149" t="inlineStr">
        <is>
          <t>No</t>
        </is>
      </c>
      <c r="AI149" s="2" t="n">
        <v>45841.40872685185</v>
      </c>
      <c r="AJ149" s="1" t="n">
        <f>DATE(2025,7,3)</f>
        <v>0.0</v>
      </c>
      <c r="AK149" t="inlineStr">
        <is>
          <t>Picking</t>
        </is>
      </c>
      <c r="AL149" s="2" t="n">
        <v>45275.52212962963</v>
      </c>
      <c r="AM149"/>
      <c r="AN149"/>
      <c r="AO149" t="n">
        <v>0.0</v>
      </c>
      <c r="AP149" t="n">
        <v>0.0</v>
      </c>
      <c r="AQ149"/>
      <c r="AR149" t="n">
        <v>225.70518518518517</v>
      </c>
      <c r="AS149" t="n">
        <v>225.70518518518517</v>
      </c>
      <c r="AT149" s="5" t="inlineStr">
        <is>
          <t>AUD</t>
        </is>
      </c>
      <c r="AU149" t="inlineStr">
        <is>
          <t>Company Owned</t>
        </is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t="n">
        <v>0.0</v>
      </c>
      <c r="BK149"/>
      <c r="BL149"/>
      <c r="BM149"/>
      <c r="BN149"/>
      <c r="BO149"/>
      <c r="BP149"/>
      <c r="BQ149"/>
      <c r="BR149"/>
      <c r="BS149"/>
      <c r="BT149"/>
      <c r="BU149" t="inlineStr">
        <is>
          <t>Yes</t>
        </is>
      </c>
      <c r="BV149"/>
      <c r="BW149"/>
      <c r="BX149"/>
    </row>
    <row r="150">
      <c r="A150" s="5" t="inlineStr">
        <is>
          <t>SERV</t>
        </is>
      </c>
      <c r="B150" s="5" t="inlineStr">
        <is>
          <t>BHT21970.00/9</t>
        </is>
      </c>
      <c r="C150" s="5" t="inlineStr">
        <is>
          <t>Hose Dosing Pump All Models</t>
        </is>
      </c>
      <c r="D150" s="5" t="inlineStr">
        <is>
          <t>*</t>
        </is>
      </c>
      <c r="E150" s="5" t="inlineStr">
        <is>
          <t>602-009</t>
        </is>
      </c>
      <c r="F150" s="5" t="inlineStr">
        <is>
          <t>*</t>
        </is>
      </c>
      <c r="G150" s="5" t="inlineStr">
        <is>
          <t>*</t>
        </is>
      </c>
      <c r="H150"/>
      <c r="I150"/>
      <c r="J150" s="5" t="inlineStr">
        <is>
          <t>1</t>
        </is>
      </c>
      <c r="K150" s="5" t="inlineStr">
        <is>
          <t>*</t>
        </is>
      </c>
      <c r="L150" t="n">
        <v>0.0</v>
      </c>
      <c r="M150" s="5" t="inlineStr">
        <is>
          <t>602</t>
        </is>
      </c>
      <c r="N150" s="5" t="inlineStr">
        <is>
          <t xml:space="preserve">  -</t>
        </is>
      </c>
      <c r="O150" s="5" t="inlineStr">
        <is>
          <t xml:space="preserve">  -</t>
        </is>
      </c>
      <c r="P150" s="5" t="inlineStr">
        <is>
          <t xml:space="preserve">  -</t>
        </is>
      </c>
      <c r="Q150" s="5" t="inlineStr">
        <is>
          <t>009</t>
        </is>
      </c>
      <c r="R150"/>
      <c r="S150" t="n">
        <v>3.0</v>
      </c>
      <c r="T150"/>
      <c r="U150" t="n">
        <v>3.0</v>
      </c>
      <c r="V150"/>
      <c r="W150" t="n">
        <v>0.0</v>
      </c>
      <c r="X150" t="n">
        <v>0.0</v>
      </c>
      <c r="Y150" t="n">
        <v>0.0</v>
      </c>
      <c r="Z150"/>
      <c r="AA150" t="n">
        <v>0.0</v>
      </c>
      <c r="AB150"/>
      <c r="AC150" t="n">
        <v>3.0</v>
      </c>
      <c r="AD150" s="5" t="inlineStr">
        <is>
          <t>pcs</t>
        </is>
      </c>
      <c r="AE150"/>
      <c r="AF150" s="5" t="inlineStr">
        <is>
          <t>pcs</t>
        </is>
      </c>
      <c r="AG150"/>
      <c r="AH150" t="inlineStr">
        <is>
          <t>No</t>
        </is>
      </c>
      <c r="AI150" s="2" t="n">
        <v>46041.69263888889</v>
      </c>
      <c r="AJ150" s="1" t="n">
        <f>DATE(2025,7,3)</f>
        <v>0.0</v>
      </c>
      <c r="AK150" t="inlineStr">
        <is>
          <t>Picking</t>
        </is>
      </c>
      <c r="AL150" s="2" t="n">
        <v>45706.51023148148</v>
      </c>
      <c r="AM150"/>
      <c r="AN150"/>
      <c r="AO150" t="n">
        <v>0.0</v>
      </c>
      <c r="AP150" t="n">
        <v>3.0</v>
      </c>
      <c r="AQ150"/>
      <c r="AR150" t="n">
        <v>62.74979778539676</v>
      </c>
      <c r="AS150" t="n">
        <v>188.24939335619027</v>
      </c>
      <c r="AT150" s="5" t="inlineStr">
        <is>
          <t>AUD</t>
        </is>
      </c>
      <c r="AU150" t="inlineStr">
        <is>
          <t>Company Owned</t>
        </is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t="n">
        <v>0.0</v>
      </c>
      <c r="BK150"/>
      <c r="BL150"/>
      <c r="BM150"/>
      <c r="BN150"/>
      <c r="BO150"/>
      <c r="BP150"/>
      <c r="BQ150"/>
      <c r="BR150"/>
      <c r="BS150"/>
      <c r="BT150"/>
      <c r="BU150" t="inlineStr">
        <is>
          <t>Yes</t>
        </is>
      </c>
      <c r="BV150"/>
      <c r="BW150"/>
      <c r="BX150"/>
    </row>
    <row r="151">
      <c r="A151" s="5" t="inlineStr">
        <is>
          <t>SERV</t>
        </is>
      </c>
      <c r="B151" s="5" t="inlineStr">
        <is>
          <t>BHT22078.00/9</t>
        </is>
      </c>
      <c r="C151" s="5" t="inlineStr">
        <is>
          <t>Valve Water Single</t>
        </is>
      </c>
      <c r="D151" s="5" t="inlineStr">
        <is>
          <t>*</t>
        </is>
      </c>
      <c r="E151" s="5" t="inlineStr">
        <is>
          <t>602-020</t>
        </is>
      </c>
      <c r="F151" s="5" t="inlineStr">
        <is>
          <t>*</t>
        </is>
      </c>
      <c r="G151" s="5" t="inlineStr">
        <is>
          <t>*</t>
        </is>
      </c>
      <c r="H151"/>
      <c r="I151"/>
      <c r="J151" s="5" t="inlineStr">
        <is>
          <t>1</t>
        </is>
      </c>
      <c r="K151" s="5" t="inlineStr">
        <is>
          <t>*</t>
        </is>
      </c>
      <c r="L151" t="n">
        <v>0.0</v>
      </c>
      <c r="M151" s="5" t="inlineStr">
        <is>
          <t>602</t>
        </is>
      </c>
      <c r="N151" s="5" t="inlineStr">
        <is>
          <t xml:space="preserve">  -</t>
        </is>
      </c>
      <c r="O151" s="5" t="inlineStr">
        <is>
          <t xml:space="preserve">  -</t>
        </is>
      </c>
      <c r="P151" s="5" t="inlineStr">
        <is>
          <t xml:space="preserve">  -</t>
        </is>
      </c>
      <c r="Q151" s="5" t="inlineStr">
        <is>
          <t>020</t>
        </is>
      </c>
      <c r="R151"/>
      <c r="S151" t="n">
        <v>1.0</v>
      </c>
      <c r="T151"/>
      <c r="U151" t="n">
        <v>1.0</v>
      </c>
      <c r="V151"/>
      <c r="W151" t="n">
        <v>0.0</v>
      </c>
      <c r="X151" t="n">
        <v>0.0</v>
      </c>
      <c r="Y151" t="n">
        <v>0.0</v>
      </c>
      <c r="Z151"/>
      <c r="AA151" t="n">
        <v>0.0</v>
      </c>
      <c r="AB151"/>
      <c r="AC151" t="n">
        <v>1.0</v>
      </c>
      <c r="AD151" s="5" t="inlineStr">
        <is>
          <t>pcs</t>
        </is>
      </c>
      <c r="AE151"/>
      <c r="AF151" s="5" t="inlineStr">
        <is>
          <t>pcs</t>
        </is>
      </c>
      <c r="AG151"/>
      <c r="AH151" t="inlineStr">
        <is>
          <t>No</t>
        </is>
      </c>
      <c r="AI151" s="2" t="n">
        <v>45961.33146990741</v>
      </c>
      <c r="AJ151" s="1" t="n">
        <f>DATE(2025,7,3)</f>
        <v>0.0</v>
      </c>
      <c r="AK151" t="inlineStr">
        <is>
          <t>Picking</t>
        </is>
      </c>
      <c r="AL151" s="2" t="n">
        <v>45958.439733796295</v>
      </c>
      <c r="AM151"/>
      <c r="AN151"/>
      <c r="AO151" t="n">
        <v>0.0</v>
      </c>
      <c r="AP151" t="n">
        <v>0.0</v>
      </c>
      <c r="AQ151"/>
      <c r="AR151" t="n">
        <v>77.07820395536348</v>
      </c>
      <c r="AS151" t="n">
        <v>77.07820395536348</v>
      </c>
      <c r="AT151" s="5" t="inlineStr">
        <is>
          <t>AUD</t>
        </is>
      </c>
      <c r="AU151" t="inlineStr">
        <is>
          <t>Company Owned</t>
        </is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t="n">
        <v>0.0</v>
      </c>
      <c r="BK151"/>
      <c r="BL151"/>
      <c r="BM151"/>
      <c r="BN151"/>
      <c r="BO151"/>
      <c r="BP151"/>
      <c r="BQ151"/>
      <c r="BR151"/>
      <c r="BS151"/>
      <c r="BT151"/>
      <c r="BU151" t="inlineStr">
        <is>
          <t>Yes</t>
        </is>
      </c>
      <c r="BV151"/>
      <c r="BW151"/>
      <c r="BX151"/>
    </row>
    <row r="152">
      <c r="A152" s="5" t="inlineStr">
        <is>
          <t>SERV</t>
        </is>
      </c>
      <c r="B152" s="5" t="inlineStr">
        <is>
          <t>GET025</t>
        </is>
      </c>
      <c r="C152" s="5" t="inlineStr">
        <is>
          <t>Gasket Door Ge 510/20</t>
        </is>
      </c>
      <c r="D152" s="5" t="inlineStr">
        <is>
          <t>*</t>
        </is>
      </c>
      <c r="E152" s="5" t="inlineStr">
        <is>
          <t>602-060</t>
        </is>
      </c>
      <c r="F152" s="5" t="inlineStr">
        <is>
          <t>*</t>
        </is>
      </c>
      <c r="G152" s="5" t="inlineStr">
        <is>
          <t>*</t>
        </is>
      </c>
      <c r="H152"/>
      <c r="I152"/>
      <c r="J152" s="5" t="inlineStr">
        <is>
          <t>1</t>
        </is>
      </c>
      <c r="K152" s="5" t="inlineStr">
        <is>
          <t>*</t>
        </is>
      </c>
      <c r="L152" t="n">
        <v>0.0</v>
      </c>
      <c r="M152" s="5" t="inlineStr">
        <is>
          <t>602</t>
        </is>
      </c>
      <c r="N152" s="5" t="inlineStr">
        <is>
          <t xml:space="preserve">  -</t>
        </is>
      </c>
      <c r="O152" s="5" t="inlineStr">
        <is>
          <t xml:space="preserve">  -</t>
        </is>
      </c>
      <c r="P152" s="5" t="inlineStr">
        <is>
          <t xml:space="preserve">  -</t>
        </is>
      </c>
      <c r="Q152" s="5" t="inlineStr">
        <is>
          <t>060</t>
        </is>
      </c>
      <c r="R152"/>
      <c r="S152" t="n">
        <v>2.0</v>
      </c>
      <c r="T152"/>
      <c r="U152" t="n">
        <v>2.0</v>
      </c>
      <c r="V152"/>
      <c r="W152" t="n">
        <v>0.0</v>
      </c>
      <c r="X152" t="n">
        <v>0.0</v>
      </c>
      <c r="Y152" t="n">
        <v>0.0</v>
      </c>
      <c r="Z152"/>
      <c r="AA152" t="n">
        <v>0.0</v>
      </c>
      <c r="AB152"/>
      <c r="AC152" t="n">
        <v>2.0</v>
      </c>
      <c r="AD152" s="5" t="inlineStr">
        <is>
          <t>pcs</t>
        </is>
      </c>
      <c r="AE152"/>
      <c r="AF152" s="5" t="inlineStr">
        <is>
          <t>pcs</t>
        </is>
      </c>
      <c r="AG152"/>
      <c r="AH152" t="inlineStr">
        <is>
          <t>No</t>
        </is>
      </c>
      <c r="AI152" s="2" t="n">
        <v>45841.408796296295</v>
      </c>
      <c r="AJ152" s="1" t="n">
        <f>DATE(2025,7,3)</f>
        <v>0.0</v>
      </c>
      <c r="AK152" t="inlineStr">
        <is>
          <t>Picking</t>
        </is>
      </c>
      <c r="AL152" s="2" t="n">
        <v>43412.55721064815</v>
      </c>
      <c r="AM152"/>
      <c r="AN152"/>
      <c r="AO152" t="n">
        <v>0.0</v>
      </c>
      <c r="AP152" t="n">
        <v>0.0</v>
      </c>
      <c r="AQ152"/>
      <c r="AR152" t="n">
        <v>822.9233333333333</v>
      </c>
      <c r="AS152" t="n">
        <v>1645.8466666666666</v>
      </c>
      <c r="AT152" s="5" t="inlineStr">
        <is>
          <t>AUD</t>
        </is>
      </c>
      <c r="AU152" t="inlineStr">
        <is>
          <t>Company Owned</t>
        </is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t="n">
        <v>0.0</v>
      </c>
      <c r="BK152"/>
      <c r="BL152"/>
      <c r="BM152"/>
      <c r="BN152"/>
      <c r="BO152"/>
      <c r="BP152"/>
      <c r="BQ152"/>
      <c r="BR152"/>
      <c r="BS152"/>
      <c r="BT152"/>
      <c r="BU152" t="inlineStr">
        <is>
          <t>Yes</t>
        </is>
      </c>
      <c r="BV152"/>
      <c r="BW152"/>
      <c r="BX152"/>
    </row>
    <row r="153">
      <c r="A153" s="5" t="inlineStr">
        <is>
          <t>SERV</t>
        </is>
      </c>
      <c r="B153" s="5" t="inlineStr">
        <is>
          <t>GET027</t>
        </is>
      </c>
      <c r="C153" s="5" t="inlineStr">
        <is>
          <t>Gasket Door Ge 660 X 660</t>
        </is>
      </c>
      <c r="D153" s="5" t="inlineStr">
        <is>
          <t>*</t>
        </is>
      </c>
      <c r="E153" s="5" t="inlineStr">
        <is>
          <t>602-060</t>
        </is>
      </c>
      <c r="F153" s="5" t="inlineStr">
        <is>
          <t>*</t>
        </is>
      </c>
      <c r="G153" s="5" t="inlineStr">
        <is>
          <t>*</t>
        </is>
      </c>
      <c r="H153"/>
      <c r="I153"/>
      <c r="J153" s="5" t="inlineStr">
        <is>
          <t>1</t>
        </is>
      </c>
      <c r="K153" s="5" t="inlineStr">
        <is>
          <t>*</t>
        </is>
      </c>
      <c r="L153" t="n">
        <v>0.0</v>
      </c>
      <c r="M153" s="5" t="inlineStr">
        <is>
          <t>602</t>
        </is>
      </c>
      <c r="N153" s="5" t="inlineStr">
        <is>
          <t xml:space="preserve">  -</t>
        </is>
      </c>
      <c r="O153" s="5" t="inlineStr">
        <is>
          <t xml:space="preserve">  -</t>
        </is>
      </c>
      <c r="P153" s="5" t="inlineStr">
        <is>
          <t xml:space="preserve">  -</t>
        </is>
      </c>
      <c r="Q153" s="5" t="inlineStr">
        <is>
          <t>060</t>
        </is>
      </c>
      <c r="R153"/>
      <c r="S153" t="n">
        <v>1.0</v>
      </c>
      <c r="T153"/>
      <c r="U153" t="n">
        <v>1.0</v>
      </c>
      <c r="V153"/>
      <c r="W153" t="n">
        <v>0.0</v>
      </c>
      <c r="X153" t="n">
        <v>0.0</v>
      </c>
      <c r="Y153" t="n">
        <v>0.0</v>
      </c>
      <c r="Z153"/>
      <c r="AA153" t="n">
        <v>0.0</v>
      </c>
      <c r="AB153"/>
      <c r="AC153" t="n">
        <v>1.0</v>
      </c>
      <c r="AD153" s="5" t="inlineStr">
        <is>
          <t>pcs</t>
        </is>
      </c>
      <c r="AE153"/>
      <c r="AF153" s="5" t="inlineStr">
        <is>
          <t>pcs</t>
        </is>
      </c>
      <c r="AG153"/>
      <c r="AH153" t="inlineStr">
        <is>
          <t>No</t>
        </is>
      </c>
      <c r="AI153" s="2" t="n">
        <v>45841.408796296295</v>
      </c>
      <c r="AJ153" s="1" t="n">
        <f>DATE(2025,7,3)</f>
        <v>0.0</v>
      </c>
      <c r="AK153" t="inlineStr">
        <is>
          <t>Picking</t>
        </is>
      </c>
      <c r="AL153" s="2" t="n">
        <v>43412.55721064815</v>
      </c>
      <c r="AM153"/>
      <c r="AN153"/>
      <c r="AO153" t="n">
        <v>0.0</v>
      </c>
      <c r="AP153" t="n">
        <v>0.0</v>
      </c>
      <c r="AQ153"/>
      <c r="AR153" t="n">
        <v>1120.8</v>
      </c>
      <c r="AS153" t="n">
        <v>1120.8</v>
      </c>
      <c r="AT153" s="5" t="inlineStr">
        <is>
          <t>AUD</t>
        </is>
      </c>
      <c r="AU153" t="inlineStr">
        <is>
          <t>Company Owned</t>
        </is>
      </c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t="n">
        <v>0.0</v>
      </c>
      <c r="BK153"/>
      <c r="BL153"/>
      <c r="BM153"/>
      <c r="BN153"/>
      <c r="BO153"/>
      <c r="BP153"/>
      <c r="BQ153"/>
      <c r="BR153"/>
      <c r="BS153"/>
      <c r="BT153"/>
      <c r="BU153" t="inlineStr">
        <is>
          <t>Yes</t>
        </is>
      </c>
      <c r="BV153"/>
      <c r="BW153"/>
      <c r="BX153"/>
    </row>
    <row r="154">
      <c r="A154" s="5" t="inlineStr">
        <is>
          <t>SERV</t>
        </is>
      </c>
      <c r="B154" s="5" t="inlineStr">
        <is>
          <t>BHT13523.17</t>
        </is>
      </c>
      <c r="C154" s="5" t="inlineStr">
        <is>
          <t>Battery For Microprocessor All Models</t>
        </is>
      </c>
      <c r="D154" s="5" t="inlineStr">
        <is>
          <t>*</t>
        </is>
      </c>
      <c r="E154" s="5" t="inlineStr">
        <is>
          <t>602-060</t>
        </is>
      </c>
      <c r="F154" s="5" t="inlineStr">
        <is>
          <t>*</t>
        </is>
      </c>
      <c r="G154" s="5" t="inlineStr">
        <is>
          <t>*</t>
        </is>
      </c>
      <c r="H154"/>
      <c r="I154"/>
      <c r="J154" s="5" t="inlineStr">
        <is>
          <t>1</t>
        </is>
      </c>
      <c r="K154" s="5" t="inlineStr">
        <is>
          <t>*</t>
        </is>
      </c>
      <c r="L154" t="n">
        <v>0.0</v>
      </c>
      <c r="M154" s="5" t="inlineStr">
        <is>
          <t>602</t>
        </is>
      </c>
      <c r="N154" s="5" t="inlineStr">
        <is>
          <t xml:space="preserve">  -</t>
        </is>
      </c>
      <c r="O154" s="5" t="inlineStr">
        <is>
          <t xml:space="preserve">  -</t>
        </is>
      </c>
      <c r="P154" s="5" t="inlineStr">
        <is>
          <t xml:space="preserve">  -</t>
        </is>
      </c>
      <c r="Q154" s="5" t="inlineStr">
        <is>
          <t>060</t>
        </is>
      </c>
      <c r="R154"/>
      <c r="S154" t="n">
        <v>1.0</v>
      </c>
      <c r="T154"/>
      <c r="U154" t="n">
        <v>1.0</v>
      </c>
      <c r="V154"/>
      <c r="W154" t="n">
        <v>0.0</v>
      </c>
      <c r="X154" t="n">
        <v>0.0</v>
      </c>
      <c r="Y154" t="n">
        <v>0.0</v>
      </c>
      <c r="Z154"/>
      <c r="AA154" t="n">
        <v>0.0</v>
      </c>
      <c r="AB154"/>
      <c r="AC154" t="n">
        <v>1.0</v>
      </c>
      <c r="AD154" s="5" t="inlineStr">
        <is>
          <t>pcs</t>
        </is>
      </c>
      <c r="AE154"/>
      <c r="AF154" s="5" t="inlineStr">
        <is>
          <t>pcs</t>
        </is>
      </c>
      <c r="AG154"/>
      <c r="AH154" t="inlineStr">
        <is>
          <t>No</t>
        </is>
      </c>
      <c r="AI154" s="2" t="n">
        <v>45841.408796296295</v>
      </c>
      <c r="AJ154" s="1" t="n">
        <f>DATE(2025,7,3)</f>
        <v>0.0</v>
      </c>
      <c r="AK154" t="inlineStr">
        <is>
          <t>Picking</t>
        </is>
      </c>
      <c r="AL154" s="2" t="n">
        <v>42508.6171875</v>
      </c>
      <c r="AM154"/>
      <c r="AN154"/>
      <c r="AO154" t="n">
        <v>0.0</v>
      </c>
      <c r="AP154" t="n">
        <v>0.0</v>
      </c>
      <c r="AQ154"/>
      <c r="AR154" t="n">
        <v>82.28175140771432</v>
      </c>
      <c r="AS154" t="n">
        <v>82.28175140771432</v>
      </c>
      <c r="AT154" s="5" t="inlineStr">
        <is>
          <t>AUD</t>
        </is>
      </c>
      <c r="AU154" t="inlineStr">
        <is>
          <t>Company Owned</t>
        </is>
      </c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t="n">
        <v>0.0</v>
      </c>
      <c r="BK154"/>
      <c r="BL154"/>
      <c r="BM154"/>
      <c r="BN154"/>
      <c r="BO154"/>
      <c r="BP154"/>
      <c r="BQ154"/>
      <c r="BR154"/>
      <c r="BS154"/>
      <c r="BT154"/>
      <c r="BU154" t="inlineStr">
        <is>
          <t>Yes</t>
        </is>
      </c>
      <c r="BV154"/>
      <c r="BW154"/>
      <c r="BX154"/>
    </row>
    <row r="155">
      <c r="A155" s="5" t="inlineStr">
        <is>
          <t>SERV</t>
        </is>
      </c>
      <c r="B155" s="5" t="inlineStr">
        <is>
          <t>140008</t>
        </is>
      </c>
      <c r="C155" s="5" t="inlineStr">
        <is>
          <t>Pump Vacuum X66 Tiger And Chipmunk</t>
        </is>
      </c>
      <c r="D155" s="5" t="inlineStr">
        <is>
          <t>*</t>
        </is>
      </c>
      <c r="E155" s="5" t="inlineStr">
        <is>
          <t>602-060</t>
        </is>
      </c>
      <c r="F155" s="5" t="inlineStr">
        <is>
          <t>*</t>
        </is>
      </c>
      <c r="G155" s="5" t="inlineStr">
        <is>
          <t>*</t>
        </is>
      </c>
      <c r="H155"/>
      <c r="I155"/>
      <c r="J155" s="5" t="inlineStr">
        <is>
          <t>1</t>
        </is>
      </c>
      <c r="K155" s="5" t="inlineStr">
        <is>
          <t>*</t>
        </is>
      </c>
      <c r="L155" t="n">
        <v>0.0</v>
      </c>
      <c r="M155" s="5" t="inlineStr">
        <is>
          <t>602</t>
        </is>
      </c>
      <c r="N155" s="5" t="inlineStr">
        <is>
          <t xml:space="preserve">  -</t>
        </is>
      </c>
      <c r="O155" s="5" t="inlineStr">
        <is>
          <t xml:space="preserve">  -</t>
        </is>
      </c>
      <c r="P155" s="5" t="inlineStr">
        <is>
          <t xml:space="preserve">  -</t>
        </is>
      </c>
      <c r="Q155" s="5" t="inlineStr">
        <is>
          <t>060</t>
        </is>
      </c>
      <c r="R155"/>
      <c r="S155" t="n">
        <v>0.0</v>
      </c>
      <c r="T155"/>
      <c r="U155" t="n">
        <v>0.0</v>
      </c>
      <c r="V155"/>
      <c r="W155" t="n">
        <v>0.0</v>
      </c>
      <c r="X155" t="n">
        <v>0.0</v>
      </c>
      <c r="Y155" t="n">
        <v>0.0</v>
      </c>
      <c r="Z155"/>
      <c r="AA155" t="n">
        <v>0.0</v>
      </c>
      <c r="AB155"/>
      <c r="AC155" t="n">
        <v>0.0</v>
      </c>
      <c r="AD155" s="5" t="inlineStr">
        <is>
          <t>pcs</t>
        </is>
      </c>
      <c r="AE155"/>
      <c r="AF155" s="5" t="inlineStr">
        <is>
          <t>pcs</t>
        </is>
      </c>
      <c r="AG155"/>
      <c r="AH155" t="inlineStr">
        <is>
          <t>No</t>
        </is>
      </c>
      <c r="AI155" s="2" t="n">
        <v>46070.70116898148</v>
      </c>
      <c r="AJ155"/>
      <c r="AK155" t="inlineStr">
        <is>
          <t>Picking</t>
        </is>
      </c>
      <c r="AL155" s="2" t="n">
        <v>45933.384039351855</v>
      </c>
      <c r="AM155"/>
      <c r="AN155"/>
      <c r="AO155" t="n">
        <v>0.0</v>
      </c>
      <c r="AP155" t="n">
        <v>0.0</v>
      </c>
      <c r="AQ155"/>
      <c r="AR155" t="n">
        <v>0.0</v>
      </c>
      <c r="AS155" t="n">
        <v>0.0</v>
      </c>
      <c r="AT155" s="5" t="inlineStr">
        <is>
          <t>AUD</t>
        </is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t="n">
        <v>0.0</v>
      </c>
      <c r="BK155"/>
      <c r="BL155"/>
      <c r="BM155"/>
      <c r="BN155"/>
      <c r="BO155"/>
      <c r="BP155"/>
      <c r="BQ155"/>
      <c r="BR155"/>
      <c r="BS155"/>
      <c r="BT155"/>
      <c r="BU155" t="inlineStr">
        <is>
          <t>Yes</t>
        </is>
      </c>
      <c r="BV155"/>
      <c r="BW155"/>
      <c r="BX155"/>
    </row>
    <row r="156">
      <c r="A156" s="5" t="inlineStr">
        <is>
          <t>SERV</t>
        </is>
      </c>
      <c r="B156" s="5" t="inlineStr">
        <is>
          <t>140009</t>
        </is>
      </c>
      <c r="C156" s="5" t="inlineStr">
        <is>
          <t>Plug S/S 1/4 BSP Hex Head</t>
        </is>
      </c>
      <c r="D156" s="5" t="inlineStr">
        <is>
          <t>*</t>
        </is>
      </c>
      <c r="E156" s="5" t="inlineStr">
        <is>
          <t>602-022</t>
        </is>
      </c>
      <c r="F156" s="5" t="inlineStr">
        <is>
          <t>*</t>
        </is>
      </c>
      <c r="G156" s="5" t="inlineStr">
        <is>
          <t>*</t>
        </is>
      </c>
      <c r="H156"/>
      <c r="I156"/>
      <c r="J156" s="5" t="inlineStr">
        <is>
          <t>1</t>
        </is>
      </c>
      <c r="K156" s="5" t="inlineStr">
        <is>
          <t>*</t>
        </is>
      </c>
      <c r="L156" t="n">
        <v>0.0</v>
      </c>
      <c r="M156" s="5" t="inlineStr">
        <is>
          <t>602</t>
        </is>
      </c>
      <c r="N156" s="5" t="inlineStr">
        <is>
          <t xml:space="preserve">  -</t>
        </is>
      </c>
      <c r="O156" s="5" t="inlineStr">
        <is>
          <t xml:space="preserve">  -</t>
        </is>
      </c>
      <c r="P156" s="5" t="inlineStr">
        <is>
          <t xml:space="preserve">  -</t>
        </is>
      </c>
      <c r="Q156" s="5" t="inlineStr">
        <is>
          <t>022</t>
        </is>
      </c>
      <c r="R156"/>
      <c r="S156" t="n">
        <v>4.0</v>
      </c>
      <c r="T156"/>
      <c r="U156" t="n">
        <v>4.0</v>
      </c>
      <c r="V156"/>
      <c r="W156" t="n">
        <v>0.0</v>
      </c>
      <c r="X156" t="n">
        <v>0.0</v>
      </c>
      <c r="Y156" t="n">
        <v>0.0</v>
      </c>
      <c r="Z156"/>
      <c r="AA156" t="n">
        <v>0.0</v>
      </c>
      <c r="AB156"/>
      <c r="AC156" t="n">
        <v>4.0</v>
      </c>
      <c r="AD156" s="5" t="inlineStr">
        <is>
          <t>pcs</t>
        </is>
      </c>
      <c r="AE156"/>
      <c r="AF156" s="5" t="inlineStr">
        <is>
          <t>pcs</t>
        </is>
      </c>
      <c r="AG156"/>
      <c r="AH156" t="inlineStr">
        <is>
          <t>No</t>
        </is>
      </c>
      <c r="AI156" s="2" t="n">
        <v>45841.40876157407</v>
      </c>
      <c r="AJ156" s="1" t="n">
        <f>DATE(2025,7,3)</f>
        <v>0.0</v>
      </c>
      <c r="AK156" t="inlineStr">
        <is>
          <t>Picking</t>
        </is>
      </c>
      <c r="AL156" s="2" t="n">
        <v>43224.49833333334</v>
      </c>
      <c r="AM156"/>
      <c r="AN156"/>
      <c r="AO156" t="n">
        <v>0.0</v>
      </c>
      <c r="AP156" t="n">
        <v>0.0</v>
      </c>
      <c r="AQ156"/>
      <c r="AR156" t="n">
        <v>3.101827037037037</v>
      </c>
      <c r="AS156" t="n">
        <v>12.407308148148148</v>
      </c>
      <c r="AT156" s="5" t="inlineStr">
        <is>
          <t>AUD</t>
        </is>
      </c>
      <c r="AU156" t="inlineStr">
        <is>
          <t>Company Owned</t>
        </is>
      </c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t="n">
        <v>0.0</v>
      </c>
      <c r="BK156"/>
      <c r="BL156"/>
      <c r="BM156"/>
      <c r="BN156"/>
      <c r="BO156"/>
      <c r="BP156"/>
      <c r="BQ156"/>
      <c r="BR156"/>
      <c r="BS156"/>
      <c r="BT156"/>
      <c r="BU156" t="inlineStr">
        <is>
          <t>Yes</t>
        </is>
      </c>
      <c r="BV156"/>
      <c r="BW156"/>
      <c r="BX156"/>
    </row>
    <row r="157">
      <c r="A157" s="5" t="inlineStr">
        <is>
          <t>SERV</t>
        </is>
      </c>
      <c r="B157" s="5" t="inlineStr">
        <is>
          <t>140012</t>
        </is>
      </c>
      <c r="C157" s="5" t="inlineStr">
        <is>
          <t>Valve Pneumatic 1/2" S/S Steam NC Small</t>
        </is>
      </c>
      <c r="D157" s="5" t="inlineStr">
        <is>
          <t>*</t>
        </is>
      </c>
      <c r="E157" s="5" t="inlineStr">
        <is>
          <t>602-023</t>
        </is>
      </c>
      <c r="F157" s="5" t="inlineStr">
        <is>
          <t>*</t>
        </is>
      </c>
      <c r="G157" s="5" t="inlineStr">
        <is>
          <t>*</t>
        </is>
      </c>
      <c r="H157"/>
      <c r="I157"/>
      <c r="J157" s="5" t="inlineStr">
        <is>
          <t>1</t>
        </is>
      </c>
      <c r="K157" s="5" t="inlineStr">
        <is>
          <t>*</t>
        </is>
      </c>
      <c r="L157" t="n">
        <v>0.0</v>
      </c>
      <c r="M157" s="5" t="inlineStr">
        <is>
          <t>602</t>
        </is>
      </c>
      <c r="N157" s="5" t="inlineStr">
        <is>
          <t xml:space="preserve">  -</t>
        </is>
      </c>
      <c r="O157" s="5" t="inlineStr">
        <is>
          <t xml:space="preserve">  -</t>
        </is>
      </c>
      <c r="P157" s="5" t="inlineStr">
        <is>
          <t xml:space="preserve">  -</t>
        </is>
      </c>
      <c r="Q157" s="5" t="inlineStr">
        <is>
          <t>023</t>
        </is>
      </c>
      <c r="R157"/>
      <c r="S157" t="n">
        <v>1.0</v>
      </c>
      <c r="T157"/>
      <c r="U157" t="n">
        <v>1.0</v>
      </c>
      <c r="V157"/>
      <c r="W157" t="n">
        <v>0.0</v>
      </c>
      <c r="X157" t="n">
        <v>0.0</v>
      </c>
      <c r="Y157" t="n">
        <v>0.0</v>
      </c>
      <c r="Z157"/>
      <c r="AA157" t="n">
        <v>0.0</v>
      </c>
      <c r="AB157"/>
      <c r="AC157" t="n">
        <v>1.0</v>
      </c>
      <c r="AD157" s="5" t="inlineStr">
        <is>
          <t>pcs</t>
        </is>
      </c>
      <c r="AE157"/>
      <c r="AF157" s="5" t="inlineStr">
        <is>
          <t>pcs</t>
        </is>
      </c>
      <c r="AG157"/>
      <c r="AH157" t="inlineStr">
        <is>
          <t>No</t>
        </is>
      </c>
      <c r="AI157" s="2" t="n">
        <v>45841.40877314815</v>
      </c>
      <c r="AJ157" s="1" t="n">
        <f>DATE(2025,7,3)</f>
        <v>0.0</v>
      </c>
      <c r="AK157" t="inlineStr">
        <is>
          <t>Picking</t>
        </is>
      </c>
      <c r="AL157" s="2" t="n">
        <v>45635.544270833336</v>
      </c>
      <c r="AM157"/>
      <c r="AN157"/>
      <c r="AO157" t="n">
        <v>0.0</v>
      </c>
      <c r="AP157" t="n">
        <v>0.0</v>
      </c>
      <c r="AQ157"/>
      <c r="AR157" t="n">
        <v>146.51140338693958</v>
      </c>
      <c r="AS157" t="n">
        <v>146.51140338693958</v>
      </c>
      <c r="AT157" s="5" t="inlineStr">
        <is>
          <t>AUD</t>
        </is>
      </c>
      <c r="AU157" t="inlineStr">
        <is>
          <t>Company Owned</t>
        </is>
      </c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t="n">
        <v>0.0</v>
      </c>
      <c r="BK157"/>
      <c r="BL157"/>
      <c r="BM157"/>
      <c r="BN157"/>
      <c r="BO157"/>
      <c r="BP157"/>
      <c r="BQ157"/>
      <c r="BR157"/>
      <c r="BS157"/>
      <c r="BT157"/>
      <c r="BU157" t="inlineStr">
        <is>
          <t>Yes</t>
        </is>
      </c>
      <c r="BV157"/>
      <c r="BW157"/>
      <c r="BX157"/>
    </row>
    <row r="158">
      <c r="A158" s="5" t="inlineStr">
        <is>
          <t>SERV</t>
        </is>
      </c>
      <c r="B158" s="5" t="inlineStr">
        <is>
          <t>139946</t>
        </is>
      </c>
      <c r="C158" s="5" t="inlineStr">
        <is>
          <t>Valve S/S Check 1/2 Tube</t>
        </is>
      </c>
      <c r="D158" s="5" t="inlineStr">
        <is>
          <t>*</t>
        </is>
      </c>
      <c r="E158" s="5" t="inlineStr">
        <is>
          <t>602-022</t>
        </is>
      </c>
      <c r="F158" s="5" t="inlineStr">
        <is>
          <t>*</t>
        </is>
      </c>
      <c r="G158" s="5" t="inlineStr">
        <is>
          <t>*</t>
        </is>
      </c>
      <c r="H158"/>
      <c r="I158"/>
      <c r="J158" s="5" t="inlineStr">
        <is>
          <t>1</t>
        </is>
      </c>
      <c r="K158" s="5" t="inlineStr">
        <is>
          <t>*</t>
        </is>
      </c>
      <c r="L158" t="n">
        <v>0.0</v>
      </c>
      <c r="M158" s="5" t="inlineStr">
        <is>
          <t>602</t>
        </is>
      </c>
      <c r="N158" s="5" t="inlineStr">
        <is>
          <t xml:space="preserve">  -</t>
        </is>
      </c>
      <c r="O158" s="5" t="inlineStr">
        <is>
          <t xml:space="preserve">  -</t>
        </is>
      </c>
      <c r="P158" s="5" t="inlineStr">
        <is>
          <t xml:space="preserve">  -</t>
        </is>
      </c>
      <c r="Q158" s="5" t="inlineStr">
        <is>
          <t>022</t>
        </is>
      </c>
      <c r="R158"/>
      <c r="S158" t="n">
        <v>1.0</v>
      </c>
      <c r="T158"/>
      <c r="U158" t="n">
        <v>1.0</v>
      </c>
      <c r="V158"/>
      <c r="W158" t="n">
        <v>0.0</v>
      </c>
      <c r="X158" t="n">
        <v>0.0</v>
      </c>
      <c r="Y158" t="n">
        <v>0.0</v>
      </c>
      <c r="Z158"/>
      <c r="AA158" t="n">
        <v>0.0</v>
      </c>
      <c r="AB158"/>
      <c r="AC158" t="n">
        <v>1.0</v>
      </c>
      <c r="AD158" s="5" t="inlineStr">
        <is>
          <t>pcs</t>
        </is>
      </c>
      <c r="AE158"/>
      <c r="AF158" s="5" t="inlineStr">
        <is>
          <t>pcs</t>
        </is>
      </c>
      <c r="AG158"/>
      <c r="AH158" t="inlineStr">
        <is>
          <t>No</t>
        </is>
      </c>
      <c r="AI158" s="2" t="n">
        <v>45940.43719907408</v>
      </c>
      <c r="AJ158" s="1" t="n">
        <f>DATE(2025,7,3)</f>
        <v>0.0</v>
      </c>
      <c r="AK158" t="inlineStr">
        <is>
          <t>Picking</t>
        </is>
      </c>
      <c r="AL158" s="2" t="n">
        <v>44882.38916666667</v>
      </c>
      <c r="AM158"/>
      <c r="AN158"/>
      <c r="AO158" t="n">
        <v>0.0</v>
      </c>
      <c r="AP158" t="n">
        <v>0.0</v>
      </c>
      <c r="AQ158"/>
      <c r="AR158" t="n">
        <v>84.5</v>
      </c>
      <c r="AS158" t="n">
        <v>84.5</v>
      </c>
      <c r="AT158" s="5" t="inlineStr">
        <is>
          <t>AUD</t>
        </is>
      </c>
      <c r="AU158" t="inlineStr">
        <is>
          <t>Company Owned</t>
        </is>
      </c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t="n">
        <v>0.0</v>
      </c>
      <c r="BK158"/>
      <c r="BL158"/>
      <c r="BM158"/>
      <c r="BN158"/>
      <c r="BO158"/>
      <c r="BP158"/>
      <c r="BQ158"/>
      <c r="BR158"/>
      <c r="BS158"/>
      <c r="BT158"/>
      <c r="BU158" t="inlineStr">
        <is>
          <t>Yes</t>
        </is>
      </c>
      <c r="BV158"/>
      <c r="BW158"/>
      <c r="BX158"/>
    </row>
    <row r="159">
      <c r="A159" s="5" t="inlineStr">
        <is>
          <t>SERV</t>
        </is>
      </c>
      <c r="B159" s="5" t="inlineStr">
        <is>
          <t>139756</t>
        </is>
      </c>
      <c r="C159" s="5" t="inlineStr">
        <is>
          <t>Union S/S 1 Sl X 3/4 M</t>
        </is>
      </c>
      <c r="D159" s="5" t="inlineStr">
        <is>
          <t>*</t>
        </is>
      </c>
      <c r="E159" s="5" t="inlineStr">
        <is>
          <t>602-060</t>
        </is>
      </c>
      <c r="F159" s="5" t="inlineStr">
        <is>
          <t>*</t>
        </is>
      </c>
      <c r="G159" s="5" t="inlineStr">
        <is>
          <t>*</t>
        </is>
      </c>
      <c r="H159"/>
      <c r="I159"/>
      <c r="J159" s="5" t="inlineStr">
        <is>
          <t>1</t>
        </is>
      </c>
      <c r="K159" s="5" t="inlineStr">
        <is>
          <t>*</t>
        </is>
      </c>
      <c r="L159" t="n">
        <v>0.0</v>
      </c>
      <c r="M159" s="5" t="inlineStr">
        <is>
          <t>602</t>
        </is>
      </c>
      <c r="N159" s="5" t="inlineStr">
        <is>
          <t xml:space="preserve">  -</t>
        </is>
      </c>
      <c r="O159" s="5" t="inlineStr">
        <is>
          <t xml:space="preserve">  -</t>
        </is>
      </c>
      <c r="P159" s="5" t="inlineStr">
        <is>
          <t xml:space="preserve">  -</t>
        </is>
      </c>
      <c r="Q159" s="5" t="inlineStr">
        <is>
          <t>060</t>
        </is>
      </c>
      <c r="R159"/>
      <c r="S159" t="n">
        <v>1.0</v>
      </c>
      <c r="T159"/>
      <c r="U159" t="n">
        <v>1.0</v>
      </c>
      <c r="V159"/>
      <c r="W159" t="n">
        <v>0.0</v>
      </c>
      <c r="X159" t="n">
        <v>0.0</v>
      </c>
      <c r="Y159" t="n">
        <v>0.0</v>
      </c>
      <c r="Z159"/>
      <c r="AA159" t="n">
        <v>0.0</v>
      </c>
      <c r="AB159"/>
      <c r="AC159" t="n">
        <v>1.0</v>
      </c>
      <c r="AD159" s="5" t="inlineStr">
        <is>
          <t>pcs</t>
        </is>
      </c>
      <c r="AE159"/>
      <c r="AF159" s="5" t="inlineStr">
        <is>
          <t>pcs</t>
        </is>
      </c>
      <c r="AG159"/>
      <c r="AH159" t="inlineStr">
        <is>
          <t>No</t>
        </is>
      </c>
      <c r="AI159" s="2" t="n">
        <v>45841.408784722225</v>
      </c>
      <c r="AJ159" s="1" t="n">
        <f>DATE(2025,7,3)</f>
        <v>0.0</v>
      </c>
      <c r="AK159" t="inlineStr">
        <is>
          <t>Picking</t>
        </is>
      </c>
      <c r="AL159" s="2" t="n">
        <v>44936.57335648148</v>
      </c>
      <c r="AM159"/>
      <c r="AN159"/>
      <c r="AO159" t="n">
        <v>0.0</v>
      </c>
      <c r="AP159" t="n">
        <v>1.0</v>
      </c>
      <c r="AQ159"/>
      <c r="AR159" t="n">
        <v>41.5</v>
      </c>
      <c r="AS159" t="n">
        <v>41.5</v>
      </c>
      <c r="AT159" s="5" t="inlineStr">
        <is>
          <t>AUD</t>
        </is>
      </c>
      <c r="AU159" t="inlineStr">
        <is>
          <t>Company Owned</t>
        </is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t="n">
        <v>0.0</v>
      </c>
      <c r="BK159"/>
      <c r="BL159"/>
      <c r="BM159"/>
      <c r="BN159"/>
      <c r="BO159"/>
      <c r="BP159"/>
      <c r="BQ159"/>
      <c r="BR159"/>
      <c r="BS159"/>
      <c r="BT159"/>
      <c r="BU159" t="inlineStr">
        <is>
          <t>Yes</t>
        </is>
      </c>
      <c r="BV159"/>
      <c r="BW159"/>
      <c r="BX159"/>
    </row>
    <row r="160">
      <c r="A160" s="5" t="inlineStr">
        <is>
          <t>SERV</t>
        </is>
      </c>
      <c r="B160" s="5" t="inlineStr">
        <is>
          <t>139789</t>
        </is>
      </c>
      <c r="C160" s="5" t="inlineStr">
        <is>
          <t>Nipple S/S Hex 1/2 Bsp</t>
        </is>
      </c>
      <c r="D160" s="5" t="inlineStr">
        <is>
          <t>*</t>
        </is>
      </c>
      <c r="E160" s="5" t="inlineStr">
        <is>
          <t>602-022</t>
        </is>
      </c>
      <c r="F160" s="5" t="inlineStr">
        <is>
          <t>*</t>
        </is>
      </c>
      <c r="G160" s="5" t="inlineStr">
        <is>
          <t>*</t>
        </is>
      </c>
      <c r="H160"/>
      <c r="I160"/>
      <c r="J160" s="5" t="inlineStr">
        <is>
          <t>1</t>
        </is>
      </c>
      <c r="K160" s="5" t="inlineStr">
        <is>
          <t>*</t>
        </is>
      </c>
      <c r="L160" t="n">
        <v>0.0</v>
      </c>
      <c r="M160" s="5" t="inlineStr">
        <is>
          <t>602</t>
        </is>
      </c>
      <c r="N160" s="5" t="inlineStr">
        <is>
          <t xml:space="preserve">  -</t>
        </is>
      </c>
      <c r="O160" s="5" t="inlineStr">
        <is>
          <t xml:space="preserve">  -</t>
        </is>
      </c>
      <c r="P160" s="5" t="inlineStr">
        <is>
          <t xml:space="preserve">  -</t>
        </is>
      </c>
      <c r="Q160" s="5" t="inlineStr">
        <is>
          <t>022</t>
        </is>
      </c>
      <c r="R160"/>
      <c r="S160" t="n">
        <v>1.0</v>
      </c>
      <c r="T160"/>
      <c r="U160" t="n">
        <v>1.0</v>
      </c>
      <c r="V160"/>
      <c r="W160" t="n">
        <v>0.0</v>
      </c>
      <c r="X160" t="n">
        <v>0.0</v>
      </c>
      <c r="Y160" t="n">
        <v>0.0</v>
      </c>
      <c r="Z160"/>
      <c r="AA160" t="n">
        <v>0.0</v>
      </c>
      <c r="AB160"/>
      <c r="AC160" t="n">
        <v>1.0</v>
      </c>
      <c r="AD160" s="5" t="inlineStr">
        <is>
          <t>pcs</t>
        </is>
      </c>
      <c r="AE160"/>
      <c r="AF160" s="5" t="inlineStr">
        <is>
          <t>pcs</t>
        </is>
      </c>
      <c r="AG160"/>
      <c r="AH160" t="inlineStr">
        <is>
          <t>No</t>
        </is>
      </c>
      <c r="AI160" s="2" t="n">
        <v>45841.40876157407</v>
      </c>
      <c r="AJ160" s="1" t="n">
        <f>DATE(2025,7,3)</f>
        <v>0.0</v>
      </c>
      <c r="AK160" t="inlineStr">
        <is>
          <t>Picking</t>
        </is>
      </c>
      <c r="AL160" s="2" t="n">
        <v>45106.56167824074</v>
      </c>
      <c r="AM160"/>
      <c r="AN160"/>
      <c r="AO160" t="n">
        <v>0.0</v>
      </c>
      <c r="AP160" t="n">
        <v>0.0</v>
      </c>
      <c r="AQ160"/>
      <c r="AR160" t="n">
        <v>3.9185535663812763</v>
      </c>
      <c r="AS160" t="n">
        <v>3.9185535663812763</v>
      </c>
      <c r="AT160" s="5" t="inlineStr">
        <is>
          <t>AUD</t>
        </is>
      </c>
      <c r="AU160" t="inlineStr">
        <is>
          <t>Company Owned</t>
        </is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t="n">
        <v>0.0</v>
      </c>
      <c r="BK160"/>
      <c r="BL160"/>
      <c r="BM160"/>
      <c r="BN160"/>
      <c r="BO160"/>
      <c r="BP160"/>
      <c r="BQ160"/>
      <c r="BR160"/>
      <c r="BS160"/>
      <c r="BT160"/>
      <c r="BU160" t="inlineStr">
        <is>
          <t>Yes</t>
        </is>
      </c>
      <c r="BV160"/>
      <c r="BW160"/>
      <c r="BX160"/>
    </row>
    <row r="161">
      <c r="A161" s="5" t="inlineStr">
        <is>
          <t>SERV</t>
        </is>
      </c>
      <c r="B161" s="5" t="inlineStr">
        <is>
          <t>139948</t>
        </is>
      </c>
      <c r="C161" s="5" t="inlineStr">
        <is>
          <t>Valve Pneumatic 1" S/S Steam NC</t>
        </is>
      </c>
      <c r="D161" s="5" t="inlineStr">
        <is>
          <t>*</t>
        </is>
      </c>
      <c r="E161" s="5" t="inlineStr">
        <is>
          <t>602-060</t>
        </is>
      </c>
      <c r="F161" s="5" t="inlineStr">
        <is>
          <t>*</t>
        </is>
      </c>
      <c r="G161" s="5" t="inlineStr">
        <is>
          <t>*</t>
        </is>
      </c>
      <c r="H161"/>
      <c r="I161"/>
      <c r="J161" s="5" t="inlineStr">
        <is>
          <t>1</t>
        </is>
      </c>
      <c r="K161" s="5" t="inlineStr">
        <is>
          <t>*</t>
        </is>
      </c>
      <c r="L161" t="n">
        <v>0.0</v>
      </c>
      <c r="M161" s="5" t="inlineStr">
        <is>
          <t>602</t>
        </is>
      </c>
      <c r="N161" s="5" t="inlineStr">
        <is>
          <t xml:space="preserve">  -</t>
        </is>
      </c>
      <c r="O161" s="5" t="inlineStr">
        <is>
          <t xml:space="preserve">  -</t>
        </is>
      </c>
      <c r="P161" s="5" t="inlineStr">
        <is>
          <t xml:space="preserve">  -</t>
        </is>
      </c>
      <c r="Q161" s="5" t="inlineStr">
        <is>
          <t>060</t>
        </is>
      </c>
      <c r="R161"/>
      <c r="S161" t="n">
        <v>1.0</v>
      </c>
      <c r="T161"/>
      <c r="U161" t="n">
        <v>1.0</v>
      </c>
      <c r="V161"/>
      <c r="W161" t="n">
        <v>0.0</v>
      </c>
      <c r="X161" t="n">
        <v>0.0</v>
      </c>
      <c r="Y161" t="n">
        <v>0.0</v>
      </c>
      <c r="Z161"/>
      <c r="AA161" t="n">
        <v>0.0</v>
      </c>
      <c r="AB161"/>
      <c r="AC161" t="n">
        <v>1.0</v>
      </c>
      <c r="AD161" s="5" t="inlineStr">
        <is>
          <t>pcs</t>
        </is>
      </c>
      <c r="AE161"/>
      <c r="AF161" s="5" t="inlineStr">
        <is>
          <t>pcs</t>
        </is>
      </c>
      <c r="AG161"/>
      <c r="AH161" t="inlineStr">
        <is>
          <t>No</t>
        </is>
      </c>
      <c r="AI161" s="2" t="n">
        <v>45896.46716435185</v>
      </c>
      <c r="AJ161" s="1" t="n">
        <f>DATE(2025,7,3)</f>
        <v>0.0</v>
      </c>
      <c r="AK161" t="inlineStr">
        <is>
          <t>Picking</t>
        </is>
      </c>
      <c r="AL161" s="2" t="n">
        <v>45888.322696759256</v>
      </c>
      <c r="AM161"/>
      <c r="AN161"/>
      <c r="AO161" t="n">
        <v>0.0</v>
      </c>
      <c r="AP161" t="n">
        <v>0.0</v>
      </c>
      <c r="AQ161"/>
      <c r="AR161" t="n">
        <v>249.54991972578506</v>
      </c>
      <c r="AS161" t="n">
        <v>249.54991972578506</v>
      </c>
      <c r="AT161" s="5" t="inlineStr">
        <is>
          <t>AUD</t>
        </is>
      </c>
      <c r="AU161" t="inlineStr">
        <is>
          <t>Company Owned</t>
        </is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t="n">
        <v>0.0</v>
      </c>
      <c r="BK161"/>
      <c r="BL161"/>
      <c r="BM161"/>
      <c r="BN161"/>
      <c r="BO161"/>
      <c r="BP161"/>
      <c r="BQ161"/>
      <c r="BR161"/>
      <c r="BS161"/>
      <c r="BT161"/>
      <c r="BU161" t="inlineStr">
        <is>
          <t>Yes</t>
        </is>
      </c>
      <c r="BV161"/>
      <c r="BW161"/>
      <c r="BX161"/>
    </row>
    <row r="162">
      <c r="A162" s="5" t="inlineStr">
        <is>
          <t>SERV</t>
        </is>
      </c>
      <c r="B162" s="5" t="inlineStr">
        <is>
          <t>139957</t>
        </is>
      </c>
      <c r="C162" s="5" t="inlineStr">
        <is>
          <t>Spring Gasket Door 55 Jerboa/Mongoose</t>
        </is>
      </c>
      <c r="D162" s="5" t="inlineStr">
        <is>
          <t>*</t>
        </is>
      </c>
      <c r="E162" s="5" t="inlineStr">
        <is>
          <t>602-023</t>
        </is>
      </c>
      <c r="F162" s="5" t="inlineStr">
        <is>
          <t>*</t>
        </is>
      </c>
      <c r="G162" s="5" t="inlineStr">
        <is>
          <t>*</t>
        </is>
      </c>
      <c r="H162"/>
      <c r="I162"/>
      <c r="J162" s="5" t="inlineStr">
        <is>
          <t>1</t>
        </is>
      </c>
      <c r="K162" s="5" t="inlineStr">
        <is>
          <t>*</t>
        </is>
      </c>
      <c r="L162" t="n">
        <v>0.0</v>
      </c>
      <c r="M162" s="5" t="inlineStr">
        <is>
          <t>602</t>
        </is>
      </c>
      <c r="N162" s="5" t="inlineStr">
        <is>
          <t xml:space="preserve">  -</t>
        </is>
      </c>
      <c r="O162" s="5" t="inlineStr">
        <is>
          <t xml:space="preserve">  -</t>
        </is>
      </c>
      <c r="P162" s="5" t="inlineStr">
        <is>
          <t xml:space="preserve">  -</t>
        </is>
      </c>
      <c r="Q162" s="5" t="inlineStr">
        <is>
          <t>023</t>
        </is>
      </c>
      <c r="R162"/>
      <c r="S162" t="n">
        <v>2.0</v>
      </c>
      <c r="T162"/>
      <c r="U162" t="n">
        <v>2.0</v>
      </c>
      <c r="V162"/>
      <c r="W162" t="n">
        <v>0.0</v>
      </c>
      <c r="X162" t="n">
        <v>0.0</v>
      </c>
      <c r="Y162" t="n">
        <v>0.0</v>
      </c>
      <c r="Z162"/>
      <c r="AA162" t="n">
        <v>0.0</v>
      </c>
      <c r="AB162"/>
      <c r="AC162" t="n">
        <v>2.0</v>
      </c>
      <c r="AD162" s="5" t="inlineStr">
        <is>
          <t>pcs</t>
        </is>
      </c>
      <c r="AE162"/>
      <c r="AF162" s="5" t="inlineStr">
        <is>
          <t>pcs</t>
        </is>
      </c>
      <c r="AG162"/>
      <c r="AH162" t="inlineStr">
        <is>
          <t>No</t>
        </is>
      </c>
      <c r="AI162" s="2" t="n">
        <v>45841.40876157407</v>
      </c>
      <c r="AJ162" s="1" t="n">
        <f>DATE(2025,7,3)</f>
        <v>0.0</v>
      </c>
      <c r="AK162" t="inlineStr">
        <is>
          <t>Picking</t>
        </is>
      </c>
      <c r="AL162" s="2" t="n">
        <v>41281.35538194444</v>
      </c>
      <c r="AM162"/>
      <c r="AN162"/>
      <c r="AO162" t="n">
        <v>0.0</v>
      </c>
      <c r="AP162" t="n">
        <v>0.0</v>
      </c>
      <c r="AQ162"/>
      <c r="AR162" t="n">
        <v>16.278972095627267</v>
      </c>
      <c r="AS162" t="n">
        <v>32.557944191254535</v>
      </c>
      <c r="AT162" s="5" t="inlineStr">
        <is>
          <t>AUD</t>
        </is>
      </c>
      <c r="AU162" t="inlineStr">
        <is>
          <t>Company Owned</t>
        </is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t="n">
        <v>0.0</v>
      </c>
      <c r="BK162"/>
      <c r="BL162"/>
      <c r="BM162"/>
      <c r="BN162"/>
      <c r="BO162"/>
      <c r="BP162"/>
      <c r="BQ162"/>
      <c r="BR162"/>
      <c r="BS162"/>
      <c r="BT162"/>
      <c r="BU162" t="inlineStr">
        <is>
          <t>Yes</t>
        </is>
      </c>
      <c r="BV162"/>
      <c r="BW162"/>
      <c r="BX162"/>
    </row>
    <row r="163">
      <c r="A163" s="5" t="inlineStr">
        <is>
          <t>SERV</t>
        </is>
      </c>
      <c r="B163" s="5" t="inlineStr">
        <is>
          <t>139958</t>
        </is>
      </c>
      <c r="C163" s="5" t="inlineStr">
        <is>
          <t>Spring Gasket Door 66 Chipmunk/Tiger</t>
        </is>
      </c>
      <c r="D163" s="5" t="inlineStr">
        <is>
          <t>*</t>
        </is>
      </c>
      <c r="E163" s="5" t="inlineStr">
        <is>
          <t>602-023</t>
        </is>
      </c>
      <c r="F163" s="5" t="inlineStr">
        <is>
          <t>*</t>
        </is>
      </c>
      <c r="G163" s="5" t="inlineStr">
        <is>
          <t>*</t>
        </is>
      </c>
      <c r="H163"/>
      <c r="I163"/>
      <c r="J163" s="5" t="inlineStr">
        <is>
          <t>1</t>
        </is>
      </c>
      <c r="K163" s="5" t="inlineStr">
        <is>
          <t>*</t>
        </is>
      </c>
      <c r="L163" t="n">
        <v>0.0</v>
      </c>
      <c r="M163" s="5" t="inlineStr">
        <is>
          <t>602</t>
        </is>
      </c>
      <c r="N163" s="5" t="inlineStr">
        <is>
          <t xml:space="preserve">  -</t>
        </is>
      </c>
      <c r="O163" s="5" t="inlineStr">
        <is>
          <t xml:space="preserve">  -</t>
        </is>
      </c>
      <c r="P163" s="5" t="inlineStr">
        <is>
          <t xml:space="preserve">  -</t>
        </is>
      </c>
      <c r="Q163" s="5" t="inlineStr">
        <is>
          <t>023</t>
        </is>
      </c>
      <c r="R163"/>
      <c r="S163" t="n">
        <v>4.0</v>
      </c>
      <c r="T163"/>
      <c r="U163" t="n">
        <v>4.0</v>
      </c>
      <c r="V163"/>
      <c r="W163" t="n">
        <v>0.0</v>
      </c>
      <c r="X163" t="n">
        <v>0.0</v>
      </c>
      <c r="Y163" t="n">
        <v>0.0</v>
      </c>
      <c r="Z163"/>
      <c r="AA163" t="n">
        <v>0.0</v>
      </c>
      <c r="AB163"/>
      <c r="AC163" t="n">
        <v>4.0</v>
      </c>
      <c r="AD163" s="5" t="inlineStr">
        <is>
          <t>pcs</t>
        </is>
      </c>
      <c r="AE163"/>
      <c r="AF163" s="5" t="inlineStr">
        <is>
          <t>pcs</t>
        </is>
      </c>
      <c r="AG163"/>
      <c r="AH163" t="inlineStr">
        <is>
          <t>No</t>
        </is>
      </c>
      <c r="AI163" s="2" t="n">
        <v>45841.40876157407</v>
      </c>
      <c r="AJ163" s="1" t="n">
        <f>DATE(2025,7,3)</f>
        <v>0.0</v>
      </c>
      <c r="AK163" t="inlineStr">
        <is>
          <t>Picking</t>
        </is>
      </c>
      <c r="AL163" s="2" t="n">
        <v>41464.560625</v>
      </c>
      <c r="AM163"/>
      <c r="AN163"/>
      <c r="AO163" t="n">
        <v>0.0</v>
      </c>
      <c r="AP163" t="n">
        <v>0.0</v>
      </c>
      <c r="AQ163"/>
      <c r="AR163" t="n">
        <v>21.90216150399934</v>
      </c>
      <c r="AS163" t="n">
        <v>87.60864601599737</v>
      </c>
      <c r="AT163" s="5" t="inlineStr">
        <is>
          <t>AUD</t>
        </is>
      </c>
      <c r="AU163" t="inlineStr">
        <is>
          <t>Company Owned</t>
        </is>
      </c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t="n">
        <v>0.0</v>
      </c>
      <c r="BK163"/>
      <c r="BL163"/>
      <c r="BM163"/>
      <c r="BN163"/>
      <c r="BO163"/>
      <c r="BP163"/>
      <c r="BQ163"/>
      <c r="BR163"/>
      <c r="BS163"/>
      <c r="BT163"/>
      <c r="BU163" t="inlineStr">
        <is>
          <t>Yes</t>
        </is>
      </c>
      <c r="BV163"/>
      <c r="BW163"/>
      <c r="BX163"/>
    </row>
    <row r="164">
      <c r="A164" s="5" t="inlineStr">
        <is>
          <t>SERV</t>
        </is>
      </c>
      <c r="B164" s="5" t="inlineStr">
        <is>
          <t>139959</t>
        </is>
      </c>
      <c r="C164" s="5" t="inlineStr">
        <is>
          <t>Spring Gasket Door 96 Chinchilla/Gorilla</t>
        </is>
      </c>
      <c r="D164" s="5" t="inlineStr">
        <is>
          <t>*</t>
        </is>
      </c>
      <c r="E164" s="5" t="inlineStr">
        <is>
          <t>602-023</t>
        </is>
      </c>
      <c r="F164" s="5" t="inlineStr">
        <is>
          <t>*</t>
        </is>
      </c>
      <c r="G164" s="5" t="inlineStr">
        <is>
          <t>*</t>
        </is>
      </c>
      <c r="H164"/>
      <c r="I164"/>
      <c r="J164" s="5" t="inlineStr">
        <is>
          <t>1</t>
        </is>
      </c>
      <c r="K164" s="5" t="inlineStr">
        <is>
          <t>*</t>
        </is>
      </c>
      <c r="L164" t="n">
        <v>0.0</v>
      </c>
      <c r="M164" s="5" t="inlineStr">
        <is>
          <t>602</t>
        </is>
      </c>
      <c r="N164" s="5" t="inlineStr">
        <is>
          <t xml:space="preserve">  -</t>
        </is>
      </c>
      <c r="O164" s="5" t="inlineStr">
        <is>
          <t xml:space="preserve">  -</t>
        </is>
      </c>
      <c r="P164" s="5" t="inlineStr">
        <is>
          <t xml:space="preserve">  -</t>
        </is>
      </c>
      <c r="Q164" s="5" t="inlineStr">
        <is>
          <t>023</t>
        </is>
      </c>
      <c r="R164"/>
      <c r="S164" t="n">
        <v>3.0</v>
      </c>
      <c r="T164"/>
      <c r="U164" t="n">
        <v>3.0</v>
      </c>
      <c r="V164"/>
      <c r="W164" t="n">
        <v>0.0</v>
      </c>
      <c r="X164" t="n">
        <v>0.0</v>
      </c>
      <c r="Y164" t="n">
        <v>0.0</v>
      </c>
      <c r="Z164"/>
      <c r="AA164" t="n">
        <v>0.0</v>
      </c>
      <c r="AB164"/>
      <c r="AC164" t="n">
        <v>3.0</v>
      </c>
      <c r="AD164" s="5" t="inlineStr">
        <is>
          <t>pcs</t>
        </is>
      </c>
      <c r="AE164"/>
      <c r="AF164" s="5" t="inlineStr">
        <is>
          <t>pcs</t>
        </is>
      </c>
      <c r="AG164"/>
      <c r="AH164" t="inlineStr">
        <is>
          <t>No</t>
        </is>
      </c>
      <c r="AI164" s="2" t="n">
        <v>45841.40876157407</v>
      </c>
      <c r="AJ164" s="1" t="n">
        <f>DATE(2025,7,3)</f>
        <v>0.0</v>
      </c>
      <c r="AK164" t="inlineStr">
        <is>
          <t>Picking</t>
        </is>
      </c>
      <c r="AL164" s="2" t="n">
        <v>41464.560625</v>
      </c>
      <c r="AM164"/>
      <c r="AN164"/>
      <c r="AO164" t="n">
        <v>0.0</v>
      </c>
      <c r="AP164" t="n">
        <v>0.0</v>
      </c>
      <c r="AQ164"/>
      <c r="AR164" t="n">
        <v>19.103983743383846</v>
      </c>
      <c r="AS164" t="n">
        <v>57.31195123015154</v>
      </c>
      <c r="AT164" s="5" t="inlineStr">
        <is>
          <t>AUD</t>
        </is>
      </c>
      <c r="AU164" t="inlineStr">
        <is>
          <t>Company Owned</t>
        </is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t="n">
        <v>0.0</v>
      </c>
      <c r="BK164"/>
      <c r="BL164"/>
      <c r="BM164"/>
      <c r="BN164"/>
      <c r="BO164"/>
      <c r="BP164"/>
      <c r="BQ164"/>
      <c r="BR164"/>
      <c r="BS164"/>
      <c r="BT164"/>
      <c r="BU164" t="inlineStr">
        <is>
          <t>Yes</t>
        </is>
      </c>
      <c r="BV164"/>
      <c r="BW164"/>
      <c r="BX164"/>
    </row>
    <row r="165">
      <c r="A165" s="5" t="inlineStr">
        <is>
          <t>SERV</t>
        </is>
      </c>
      <c r="B165" s="5" t="inlineStr">
        <is>
          <t>139960</t>
        </is>
      </c>
      <c r="C165" s="5" t="inlineStr">
        <is>
          <t>Gasket Door Round 55 Jerboa/Mongoose</t>
        </is>
      </c>
      <c r="D165" s="5" t="inlineStr">
        <is>
          <t>*</t>
        </is>
      </c>
      <c r="E165" s="5" t="inlineStr">
        <is>
          <t>602-023</t>
        </is>
      </c>
      <c r="F165" s="5" t="inlineStr">
        <is>
          <t>*</t>
        </is>
      </c>
      <c r="G165" s="5" t="inlineStr">
        <is>
          <t>*</t>
        </is>
      </c>
      <c r="H165"/>
      <c r="I165"/>
      <c r="J165" s="5" t="inlineStr">
        <is>
          <t>1</t>
        </is>
      </c>
      <c r="K165" s="5" t="inlineStr">
        <is>
          <t>*</t>
        </is>
      </c>
      <c r="L165" t="n">
        <v>0.0</v>
      </c>
      <c r="M165" s="5" t="inlineStr">
        <is>
          <t>602</t>
        </is>
      </c>
      <c r="N165" s="5" t="inlineStr">
        <is>
          <t xml:space="preserve">  -</t>
        </is>
      </c>
      <c r="O165" s="5" t="inlineStr">
        <is>
          <t xml:space="preserve">  -</t>
        </is>
      </c>
      <c r="P165" s="5" t="inlineStr">
        <is>
          <t xml:space="preserve">  -</t>
        </is>
      </c>
      <c r="Q165" s="5" t="inlineStr">
        <is>
          <t>023</t>
        </is>
      </c>
      <c r="R165"/>
      <c r="S165" t="n">
        <v>2.0</v>
      </c>
      <c r="T165"/>
      <c r="U165" t="n">
        <v>2.0</v>
      </c>
      <c r="V165"/>
      <c r="W165" t="n">
        <v>0.0</v>
      </c>
      <c r="X165" t="n">
        <v>0.0</v>
      </c>
      <c r="Y165" t="n">
        <v>0.0</v>
      </c>
      <c r="Z165"/>
      <c r="AA165" t="n">
        <v>0.0</v>
      </c>
      <c r="AB165"/>
      <c r="AC165" t="n">
        <v>2.0</v>
      </c>
      <c r="AD165" s="5" t="inlineStr">
        <is>
          <t>pcs</t>
        </is>
      </c>
      <c r="AE165"/>
      <c r="AF165" s="5" t="inlineStr">
        <is>
          <t>pcs</t>
        </is>
      </c>
      <c r="AG165"/>
      <c r="AH165" t="inlineStr">
        <is>
          <t>No</t>
        </is>
      </c>
      <c r="AI165" s="2" t="n">
        <v>45841.40876157407</v>
      </c>
      <c r="AJ165" s="1" t="n">
        <f>DATE(2025,7,3)</f>
        <v>0.0</v>
      </c>
      <c r="AK165" t="inlineStr">
        <is>
          <t>Picking</t>
        </is>
      </c>
      <c r="AL165" s="2" t="n">
        <v>41459.637708333335</v>
      </c>
      <c r="AM165"/>
      <c r="AN165"/>
      <c r="AO165" t="n">
        <v>0.0</v>
      </c>
      <c r="AP165" t="n">
        <v>0.0</v>
      </c>
      <c r="AQ165"/>
      <c r="AR165" t="n">
        <v>113.68</v>
      </c>
      <c r="AS165" t="n">
        <v>227.36</v>
      </c>
      <c r="AT165" s="5" t="inlineStr">
        <is>
          <t>AUD</t>
        </is>
      </c>
      <c r="AU165" t="inlineStr">
        <is>
          <t>Company Owned</t>
        </is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t="n">
        <v>0.0</v>
      </c>
      <c r="BK165"/>
      <c r="BL165"/>
      <c r="BM165"/>
      <c r="BN165"/>
      <c r="BO165"/>
      <c r="BP165"/>
      <c r="BQ165"/>
      <c r="BR165"/>
      <c r="BS165"/>
      <c r="BT165"/>
      <c r="BU165" t="inlineStr">
        <is>
          <t>Yes</t>
        </is>
      </c>
      <c r="BV165"/>
      <c r="BW165"/>
      <c r="BX165"/>
    </row>
    <row r="166">
      <c r="A166" s="5" t="inlineStr">
        <is>
          <t>SERV</t>
        </is>
      </c>
      <c r="B166" s="5" t="inlineStr">
        <is>
          <t>139961</t>
        </is>
      </c>
      <c r="C166" s="5" t="inlineStr">
        <is>
          <t>Gasket Door Round 66 Chipmunk/Tiger</t>
        </is>
      </c>
      <c r="D166" s="5" t="inlineStr">
        <is>
          <t>*</t>
        </is>
      </c>
      <c r="E166" s="5" t="inlineStr">
        <is>
          <t>602-023</t>
        </is>
      </c>
      <c r="F166" s="5" t="inlineStr">
        <is>
          <t>*</t>
        </is>
      </c>
      <c r="G166" s="5" t="inlineStr">
        <is>
          <t>*</t>
        </is>
      </c>
      <c r="H166"/>
      <c r="I166"/>
      <c r="J166" s="5" t="inlineStr">
        <is>
          <t>1</t>
        </is>
      </c>
      <c r="K166" s="5" t="inlineStr">
        <is>
          <t>*</t>
        </is>
      </c>
      <c r="L166" t="n">
        <v>0.0</v>
      </c>
      <c r="M166" s="5" t="inlineStr">
        <is>
          <t>602</t>
        </is>
      </c>
      <c r="N166" s="5" t="inlineStr">
        <is>
          <t xml:space="preserve">  -</t>
        </is>
      </c>
      <c r="O166" s="5" t="inlineStr">
        <is>
          <t xml:space="preserve">  -</t>
        </is>
      </c>
      <c r="P166" s="5" t="inlineStr">
        <is>
          <t xml:space="preserve">  -</t>
        </is>
      </c>
      <c r="Q166" s="5" t="inlineStr">
        <is>
          <t>023</t>
        </is>
      </c>
      <c r="R166"/>
      <c r="S166" t="n">
        <v>6.0</v>
      </c>
      <c r="T166"/>
      <c r="U166" t="n">
        <v>6.0</v>
      </c>
      <c r="V166"/>
      <c r="W166" t="n">
        <v>0.0</v>
      </c>
      <c r="X166" t="n">
        <v>0.0</v>
      </c>
      <c r="Y166" t="n">
        <v>0.0</v>
      </c>
      <c r="Z166"/>
      <c r="AA166" t="n">
        <v>0.0</v>
      </c>
      <c r="AB166"/>
      <c r="AC166" t="n">
        <v>6.0</v>
      </c>
      <c r="AD166" s="5" t="inlineStr">
        <is>
          <t>pcs</t>
        </is>
      </c>
      <c r="AE166"/>
      <c r="AF166" s="5" t="inlineStr">
        <is>
          <t>pcs</t>
        </is>
      </c>
      <c r="AG166"/>
      <c r="AH166" t="inlineStr">
        <is>
          <t>No</t>
        </is>
      </c>
      <c r="AI166" s="2" t="n">
        <v>46056.66243055555</v>
      </c>
      <c r="AJ166" s="1" t="n">
        <f>DATE(2025,7,3)</f>
        <v>0.0</v>
      </c>
      <c r="AK166" t="inlineStr">
        <is>
          <t>Picking</t>
        </is>
      </c>
      <c r="AL166" s="2" t="n">
        <v>44970.57524305556</v>
      </c>
      <c r="AM166"/>
      <c r="AN166"/>
      <c r="AO166" t="n">
        <v>0.0</v>
      </c>
      <c r="AP166" t="n">
        <v>-1.0</v>
      </c>
      <c r="AQ166"/>
      <c r="AR166" t="n">
        <v>109.14</v>
      </c>
      <c r="AS166" t="n">
        <v>654.84</v>
      </c>
      <c r="AT166" s="5" t="inlineStr">
        <is>
          <t>AUD</t>
        </is>
      </c>
      <c r="AU166" t="inlineStr">
        <is>
          <t>Company Owned</t>
        </is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t="n">
        <v>0.0</v>
      </c>
      <c r="BK166"/>
      <c r="BL166"/>
      <c r="BM166"/>
      <c r="BN166"/>
      <c r="BO166"/>
      <c r="BP166"/>
      <c r="BQ166"/>
      <c r="BR166"/>
      <c r="BS166"/>
      <c r="BT166"/>
      <c r="BU166" t="inlineStr">
        <is>
          <t>Yes</t>
        </is>
      </c>
      <c r="BV166"/>
      <c r="BW166"/>
      <c r="BX166"/>
    </row>
    <row r="167">
      <c r="A167" s="5" t="inlineStr">
        <is>
          <t>SERV</t>
        </is>
      </c>
      <c r="B167" s="5" t="inlineStr">
        <is>
          <t>139962</t>
        </is>
      </c>
      <c r="C167" s="5" t="inlineStr">
        <is>
          <t>Gasket Door Round 96 Chinchilla/Gorilla</t>
        </is>
      </c>
      <c r="D167" s="5" t="inlineStr">
        <is>
          <t>*</t>
        </is>
      </c>
      <c r="E167" s="5" t="inlineStr">
        <is>
          <t>602-023</t>
        </is>
      </c>
      <c r="F167" s="5" t="inlineStr">
        <is>
          <t>*</t>
        </is>
      </c>
      <c r="G167" s="5" t="inlineStr">
        <is>
          <t>*</t>
        </is>
      </c>
      <c r="H167"/>
      <c r="I167"/>
      <c r="J167" s="5" t="inlineStr">
        <is>
          <t>1</t>
        </is>
      </c>
      <c r="K167" s="5" t="inlineStr">
        <is>
          <t>*</t>
        </is>
      </c>
      <c r="L167" t="n">
        <v>0.0</v>
      </c>
      <c r="M167" s="5" t="inlineStr">
        <is>
          <t>602</t>
        </is>
      </c>
      <c r="N167" s="5" t="inlineStr">
        <is>
          <t xml:space="preserve">  -</t>
        </is>
      </c>
      <c r="O167" s="5" t="inlineStr">
        <is>
          <t xml:space="preserve">  -</t>
        </is>
      </c>
      <c r="P167" s="5" t="inlineStr">
        <is>
          <t xml:space="preserve">  -</t>
        </is>
      </c>
      <c r="Q167" s="5" t="inlineStr">
        <is>
          <t>023</t>
        </is>
      </c>
      <c r="R167"/>
      <c r="S167" t="n">
        <v>6.0</v>
      </c>
      <c r="T167"/>
      <c r="U167" t="n">
        <v>6.0</v>
      </c>
      <c r="V167"/>
      <c r="W167" t="n">
        <v>0.0</v>
      </c>
      <c r="X167" t="n">
        <v>0.0</v>
      </c>
      <c r="Y167" t="n">
        <v>0.0</v>
      </c>
      <c r="Z167"/>
      <c r="AA167" t="n">
        <v>0.0</v>
      </c>
      <c r="AB167"/>
      <c r="AC167" t="n">
        <v>6.0</v>
      </c>
      <c r="AD167" s="5" t="inlineStr">
        <is>
          <t>pcs</t>
        </is>
      </c>
      <c r="AE167"/>
      <c r="AF167" s="5" t="inlineStr">
        <is>
          <t>pcs</t>
        </is>
      </c>
      <c r="AG167"/>
      <c r="AH167" t="inlineStr">
        <is>
          <t>No</t>
        </is>
      </c>
      <c r="AI167" s="2" t="n">
        <v>46050.46046296296</v>
      </c>
      <c r="AJ167" s="1" t="n">
        <f>DATE(2025,7,3)</f>
        <v>0.0</v>
      </c>
      <c r="AK167" t="inlineStr">
        <is>
          <t>Picking</t>
        </is>
      </c>
      <c r="AL167" s="2" t="n">
        <v>45357.58246527778</v>
      </c>
      <c r="AM167"/>
      <c r="AN167"/>
      <c r="AO167" t="n">
        <v>0.0</v>
      </c>
      <c r="AP167" t="n">
        <v>0.0</v>
      </c>
      <c r="AQ167"/>
      <c r="AR167" t="n">
        <v>114.82</v>
      </c>
      <c r="AS167" t="n">
        <v>688.92</v>
      </c>
      <c r="AT167" s="5" t="inlineStr">
        <is>
          <t>AUD</t>
        </is>
      </c>
      <c r="AU167" t="inlineStr">
        <is>
          <t>Company Owned</t>
        </is>
      </c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t="n">
        <v>0.0</v>
      </c>
      <c r="BK167"/>
      <c r="BL167"/>
      <c r="BM167"/>
      <c r="BN167"/>
      <c r="BO167"/>
      <c r="BP167"/>
      <c r="BQ167"/>
      <c r="BR167"/>
      <c r="BS167"/>
      <c r="BT167"/>
      <c r="BU167" t="inlineStr">
        <is>
          <t>Yes</t>
        </is>
      </c>
      <c r="BV167"/>
      <c r="BW167"/>
      <c r="BX167"/>
    </row>
    <row r="168">
      <c r="A168" s="5" t="inlineStr">
        <is>
          <t>SERV</t>
        </is>
      </c>
      <c r="B168" s="5" t="inlineStr">
        <is>
          <t>139759</t>
        </is>
      </c>
      <c r="C168" s="5" t="inlineStr">
        <is>
          <t>Union S/S 1/2Sl X 3/8M</t>
        </is>
      </c>
      <c r="D168" s="5" t="inlineStr">
        <is>
          <t>*</t>
        </is>
      </c>
      <c r="E168" s="5" t="inlineStr">
        <is>
          <t>602-060</t>
        </is>
      </c>
      <c r="F168" s="5" t="inlineStr">
        <is>
          <t>*</t>
        </is>
      </c>
      <c r="G168" s="5" t="inlineStr">
        <is>
          <t>*</t>
        </is>
      </c>
      <c r="H168"/>
      <c r="I168"/>
      <c r="J168" s="5" t="inlineStr">
        <is>
          <t>1</t>
        </is>
      </c>
      <c r="K168" s="5" t="inlineStr">
        <is>
          <t>*</t>
        </is>
      </c>
      <c r="L168" t="n">
        <v>0.0</v>
      </c>
      <c r="M168" s="5" t="inlineStr">
        <is>
          <t>602</t>
        </is>
      </c>
      <c r="N168" s="5" t="inlineStr">
        <is>
          <t xml:space="preserve">  -</t>
        </is>
      </c>
      <c r="O168" s="5" t="inlineStr">
        <is>
          <t xml:space="preserve">  -</t>
        </is>
      </c>
      <c r="P168" s="5" t="inlineStr">
        <is>
          <t xml:space="preserve">  -</t>
        </is>
      </c>
      <c r="Q168" s="5" t="inlineStr">
        <is>
          <t>060</t>
        </is>
      </c>
      <c r="R168"/>
      <c r="S168" t="n">
        <v>1.0</v>
      </c>
      <c r="T168"/>
      <c r="U168" t="n">
        <v>1.0</v>
      </c>
      <c r="V168"/>
      <c r="W168" t="n">
        <v>0.0</v>
      </c>
      <c r="X168" t="n">
        <v>0.0</v>
      </c>
      <c r="Y168" t="n">
        <v>0.0</v>
      </c>
      <c r="Z168"/>
      <c r="AA168" t="n">
        <v>0.0</v>
      </c>
      <c r="AB168"/>
      <c r="AC168" t="n">
        <v>1.0</v>
      </c>
      <c r="AD168" s="5" t="inlineStr">
        <is>
          <t>pcs</t>
        </is>
      </c>
      <c r="AE168"/>
      <c r="AF168" s="5" t="inlineStr">
        <is>
          <t>pcs</t>
        </is>
      </c>
      <c r="AG168"/>
      <c r="AH168" t="inlineStr">
        <is>
          <t>No</t>
        </is>
      </c>
      <c r="AI168" s="2" t="n">
        <v>45841.408784722225</v>
      </c>
      <c r="AJ168" s="1" t="n">
        <f>DATE(2025,7,3)</f>
        <v>0.0</v>
      </c>
      <c r="AK168" t="inlineStr">
        <is>
          <t>Picking</t>
        </is>
      </c>
      <c r="AL168" s="2" t="n">
        <v>41543.46056712963</v>
      </c>
      <c r="AM168"/>
      <c r="AN168"/>
      <c r="AO168" t="n">
        <v>0.0</v>
      </c>
      <c r="AP168" t="n">
        <v>0.0</v>
      </c>
      <c r="AQ168"/>
      <c r="AR168" t="n">
        <v>13.449782608695653</v>
      </c>
      <c r="AS168" t="n">
        <v>13.449782608695653</v>
      </c>
      <c r="AT168" s="5" t="inlineStr">
        <is>
          <t>AUD</t>
        </is>
      </c>
      <c r="AU168" t="inlineStr">
        <is>
          <t>Company Owned</t>
        </is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t="n">
        <v>0.0</v>
      </c>
      <c r="BK168"/>
      <c r="BL168"/>
      <c r="BM168"/>
      <c r="BN168"/>
      <c r="BO168"/>
      <c r="BP168"/>
      <c r="BQ168"/>
      <c r="BR168"/>
      <c r="BS168"/>
      <c r="BT168"/>
      <c r="BU168" t="inlineStr">
        <is>
          <t>Yes</t>
        </is>
      </c>
      <c r="BV168"/>
      <c r="BW168"/>
      <c r="BX168"/>
    </row>
    <row r="169">
      <c r="A169" s="5" t="inlineStr">
        <is>
          <t>SERV</t>
        </is>
      </c>
      <c r="B169" s="5" t="inlineStr">
        <is>
          <t>139775</t>
        </is>
      </c>
      <c r="C169" s="5" t="inlineStr">
        <is>
          <t>Adapter S/S 1/4 Tube X 1/4 M</t>
        </is>
      </c>
      <c r="D169" s="5" t="inlineStr">
        <is>
          <t>*</t>
        </is>
      </c>
      <c r="E169" s="5" t="inlineStr">
        <is>
          <t>602-060</t>
        </is>
      </c>
      <c r="F169" s="5" t="inlineStr">
        <is>
          <t>*</t>
        </is>
      </c>
      <c r="G169" s="5" t="inlineStr">
        <is>
          <t>*</t>
        </is>
      </c>
      <c r="H169"/>
      <c r="I169"/>
      <c r="J169" s="5" t="inlineStr">
        <is>
          <t>1</t>
        </is>
      </c>
      <c r="K169" s="5" t="inlineStr">
        <is>
          <t>*</t>
        </is>
      </c>
      <c r="L169" t="n">
        <v>0.0</v>
      </c>
      <c r="M169" s="5" t="inlineStr">
        <is>
          <t>602</t>
        </is>
      </c>
      <c r="N169" s="5" t="inlineStr">
        <is>
          <t xml:space="preserve">  -</t>
        </is>
      </c>
      <c r="O169" s="5" t="inlineStr">
        <is>
          <t xml:space="preserve">  -</t>
        </is>
      </c>
      <c r="P169" s="5" t="inlineStr">
        <is>
          <t xml:space="preserve">  -</t>
        </is>
      </c>
      <c r="Q169" s="5" t="inlineStr">
        <is>
          <t>060</t>
        </is>
      </c>
      <c r="R169"/>
      <c r="S169" t="n">
        <v>2.0</v>
      </c>
      <c r="T169"/>
      <c r="U169" t="n">
        <v>2.0</v>
      </c>
      <c r="V169"/>
      <c r="W169" t="n">
        <v>0.0</v>
      </c>
      <c r="X169" t="n">
        <v>0.0</v>
      </c>
      <c r="Y169" t="n">
        <v>0.0</v>
      </c>
      <c r="Z169"/>
      <c r="AA169" t="n">
        <v>0.0</v>
      </c>
      <c r="AB169"/>
      <c r="AC169" t="n">
        <v>2.0</v>
      </c>
      <c r="AD169" s="5" t="inlineStr">
        <is>
          <t>pcs</t>
        </is>
      </c>
      <c r="AE169"/>
      <c r="AF169" s="5" t="inlineStr">
        <is>
          <t>pcs</t>
        </is>
      </c>
      <c r="AG169"/>
      <c r="AH169" t="inlineStr">
        <is>
          <t>No</t>
        </is>
      </c>
      <c r="AI169" s="2" t="n">
        <v>45841.408784722225</v>
      </c>
      <c r="AJ169" s="1" t="n">
        <f>DATE(2025,7,3)</f>
        <v>0.0</v>
      </c>
      <c r="AK169" t="inlineStr">
        <is>
          <t>Picking</t>
        </is>
      </c>
      <c r="AL169" s="2" t="n">
        <v>43251.597349537034</v>
      </c>
      <c r="AM169"/>
      <c r="AN169"/>
      <c r="AO169" t="n">
        <v>0.0</v>
      </c>
      <c r="AP169" t="n">
        <v>0.0</v>
      </c>
      <c r="AQ169"/>
      <c r="AR169" t="n">
        <v>4.65</v>
      </c>
      <c r="AS169" t="n">
        <v>9.3</v>
      </c>
      <c r="AT169" s="5" t="inlineStr">
        <is>
          <t>AUD</t>
        </is>
      </c>
      <c r="AU169" t="inlineStr">
        <is>
          <t>Company Owned</t>
        </is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t="n">
        <v>0.0</v>
      </c>
      <c r="BK169"/>
      <c r="BL169"/>
      <c r="BM169"/>
      <c r="BN169"/>
      <c r="BO169"/>
      <c r="BP169"/>
      <c r="BQ169"/>
      <c r="BR169"/>
      <c r="BS169"/>
      <c r="BT169"/>
      <c r="BU169" t="inlineStr">
        <is>
          <t>Yes</t>
        </is>
      </c>
      <c r="BV169"/>
      <c r="BW169"/>
      <c r="BX169"/>
    </row>
    <row r="170">
      <c r="A170" s="5" t="inlineStr">
        <is>
          <t>SERV</t>
        </is>
      </c>
      <c r="B170" s="5" t="inlineStr">
        <is>
          <t>139976</t>
        </is>
      </c>
      <c r="C170" s="5" t="inlineStr">
        <is>
          <t>Spring Gasket A/Door 900 Series-93</t>
        </is>
      </c>
      <c r="D170" s="5" t="inlineStr">
        <is>
          <t>*</t>
        </is>
      </c>
      <c r="E170" s="5" t="inlineStr">
        <is>
          <t>602-023</t>
        </is>
      </c>
      <c r="F170" s="5" t="inlineStr">
        <is>
          <t>*</t>
        </is>
      </c>
      <c r="G170" s="5" t="inlineStr">
        <is>
          <t>*</t>
        </is>
      </c>
      <c r="H170"/>
      <c r="I170"/>
      <c r="J170" s="5" t="inlineStr">
        <is>
          <t>1</t>
        </is>
      </c>
      <c r="K170" s="5" t="inlineStr">
        <is>
          <t>*</t>
        </is>
      </c>
      <c r="L170" t="n">
        <v>0.0</v>
      </c>
      <c r="M170" s="5" t="inlineStr">
        <is>
          <t>602</t>
        </is>
      </c>
      <c r="N170" s="5" t="inlineStr">
        <is>
          <t xml:space="preserve">  -</t>
        </is>
      </c>
      <c r="O170" s="5" t="inlineStr">
        <is>
          <t xml:space="preserve">  -</t>
        </is>
      </c>
      <c r="P170" s="5" t="inlineStr">
        <is>
          <t xml:space="preserve">  -</t>
        </is>
      </c>
      <c r="Q170" s="5" t="inlineStr">
        <is>
          <t>023</t>
        </is>
      </c>
      <c r="R170"/>
      <c r="S170" t="n">
        <v>2.0</v>
      </c>
      <c r="T170"/>
      <c r="U170" t="n">
        <v>2.0</v>
      </c>
      <c r="V170"/>
      <c r="W170" t="n">
        <v>0.0</v>
      </c>
      <c r="X170" t="n">
        <v>0.0</v>
      </c>
      <c r="Y170" t="n">
        <v>0.0</v>
      </c>
      <c r="Z170"/>
      <c r="AA170" t="n">
        <v>0.0</v>
      </c>
      <c r="AB170"/>
      <c r="AC170" t="n">
        <v>2.0</v>
      </c>
      <c r="AD170" s="5" t="inlineStr">
        <is>
          <t>pcs</t>
        </is>
      </c>
      <c r="AE170"/>
      <c r="AF170" s="5" t="inlineStr">
        <is>
          <t>pcs</t>
        </is>
      </c>
      <c r="AG170"/>
      <c r="AH170" t="inlineStr">
        <is>
          <t>No</t>
        </is>
      </c>
      <c r="AI170" s="2" t="n">
        <v>45841.40877314815</v>
      </c>
      <c r="AJ170" s="1" t="n">
        <f>DATE(2025,7,3)</f>
        <v>0.0</v>
      </c>
      <c r="AK170" t="inlineStr">
        <is>
          <t>Picking</t>
        </is>
      </c>
      <c r="AL170" s="2" t="n">
        <v>44336.59425925926</v>
      </c>
      <c r="AM170"/>
      <c r="AN170"/>
      <c r="AO170" t="n">
        <v>0.0</v>
      </c>
      <c r="AP170" t="n">
        <v>0.0</v>
      </c>
      <c r="AQ170"/>
      <c r="AR170" t="n">
        <v>0.01</v>
      </c>
      <c r="AS170" t="n">
        <v>0.02</v>
      </c>
      <c r="AT170" s="5" t="inlineStr">
        <is>
          <t>AUD</t>
        </is>
      </c>
      <c r="AU170" t="inlineStr">
        <is>
          <t>Company Owned</t>
        </is>
      </c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t="n">
        <v>0.0</v>
      </c>
      <c r="BK170"/>
      <c r="BL170"/>
      <c r="BM170"/>
      <c r="BN170"/>
      <c r="BO170"/>
      <c r="BP170"/>
      <c r="BQ170"/>
      <c r="BR170"/>
      <c r="BS170"/>
      <c r="BT170"/>
      <c r="BU170" t="inlineStr">
        <is>
          <t>Yes</t>
        </is>
      </c>
      <c r="BV170"/>
      <c r="BW170"/>
      <c r="BX170"/>
    </row>
    <row r="171">
      <c r="A171" s="5" t="inlineStr">
        <is>
          <t>SERV</t>
        </is>
      </c>
      <c r="B171" s="5" t="inlineStr">
        <is>
          <t>139980</t>
        </is>
      </c>
      <c r="C171" s="5" t="inlineStr">
        <is>
          <t>Gasket A/Door Round 900 Series-93</t>
        </is>
      </c>
      <c r="D171" s="5" t="inlineStr">
        <is>
          <t>*</t>
        </is>
      </c>
      <c r="E171" s="5" t="inlineStr">
        <is>
          <t>602-023</t>
        </is>
      </c>
      <c r="F171" s="5" t="inlineStr">
        <is>
          <t>*</t>
        </is>
      </c>
      <c r="G171" s="5" t="inlineStr">
        <is>
          <t>*</t>
        </is>
      </c>
      <c r="H171"/>
      <c r="I171"/>
      <c r="J171" s="5" t="inlineStr">
        <is>
          <t>1</t>
        </is>
      </c>
      <c r="K171" s="5" t="inlineStr">
        <is>
          <t>*</t>
        </is>
      </c>
      <c r="L171" t="n">
        <v>0.0</v>
      </c>
      <c r="M171" s="5" t="inlineStr">
        <is>
          <t>602</t>
        </is>
      </c>
      <c r="N171" s="5" t="inlineStr">
        <is>
          <t xml:space="preserve">  -</t>
        </is>
      </c>
      <c r="O171" s="5" t="inlineStr">
        <is>
          <t xml:space="preserve">  -</t>
        </is>
      </c>
      <c r="P171" s="5" t="inlineStr">
        <is>
          <t xml:space="preserve">  -</t>
        </is>
      </c>
      <c r="Q171" s="5" t="inlineStr">
        <is>
          <t>023</t>
        </is>
      </c>
      <c r="R171"/>
      <c r="S171" t="n">
        <v>1.0</v>
      </c>
      <c r="T171"/>
      <c r="U171" t="n">
        <v>1.0</v>
      </c>
      <c r="V171"/>
      <c r="W171" t="n">
        <v>0.0</v>
      </c>
      <c r="X171" t="n">
        <v>0.0</v>
      </c>
      <c r="Y171" t="n">
        <v>0.0</v>
      </c>
      <c r="Z171"/>
      <c r="AA171" t="n">
        <v>0.0</v>
      </c>
      <c r="AB171"/>
      <c r="AC171" t="n">
        <v>1.0</v>
      </c>
      <c r="AD171" s="5" t="inlineStr">
        <is>
          <t>pcs</t>
        </is>
      </c>
      <c r="AE171"/>
      <c r="AF171" s="5" t="inlineStr">
        <is>
          <t>pcs</t>
        </is>
      </c>
      <c r="AG171"/>
      <c r="AH171" t="inlineStr">
        <is>
          <t>No</t>
        </is>
      </c>
      <c r="AI171" s="2" t="n">
        <v>45841.40877314815</v>
      </c>
      <c r="AJ171" s="1" t="n">
        <f>DATE(2025,7,3)</f>
        <v>0.0</v>
      </c>
      <c r="AK171" t="inlineStr">
        <is>
          <t>Picking</t>
        </is>
      </c>
      <c r="AL171" s="2" t="n">
        <v>41326.398206018515</v>
      </c>
      <c r="AM171"/>
      <c r="AN171"/>
      <c r="AO171" t="n">
        <v>0.0</v>
      </c>
      <c r="AP171" t="n">
        <v>0.0</v>
      </c>
      <c r="AQ171"/>
      <c r="AR171" t="n">
        <v>186.78320262273746</v>
      </c>
      <c r="AS171" t="n">
        <v>186.78320262273746</v>
      </c>
      <c r="AT171" s="5" t="inlineStr">
        <is>
          <t>AUD</t>
        </is>
      </c>
      <c r="AU171" t="inlineStr">
        <is>
          <t>Company Owned</t>
        </is>
      </c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 t="n">
        <v>0.0</v>
      </c>
      <c r="BK171"/>
      <c r="BL171"/>
      <c r="BM171"/>
      <c r="BN171"/>
      <c r="BO171"/>
      <c r="BP171"/>
      <c r="BQ171"/>
      <c r="BR171"/>
      <c r="BS171"/>
      <c r="BT171"/>
      <c r="BU171" t="inlineStr">
        <is>
          <t>Yes</t>
        </is>
      </c>
      <c r="BV171"/>
      <c r="BW171"/>
      <c r="BX171"/>
    </row>
    <row r="172">
      <c r="A172" s="5" t="inlineStr">
        <is>
          <t>SERV</t>
        </is>
      </c>
      <c r="B172" s="5" t="inlineStr">
        <is>
          <t>140035</t>
        </is>
      </c>
      <c r="C172" s="5" t="inlineStr">
        <is>
          <t>Elbow Swivel M5 X 4 Dia Rapid Fitting</t>
        </is>
      </c>
      <c r="D172" s="5" t="inlineStr">
        <is>
          <t>*</t>
        </is>
      </c>
      <c r="E172" s="5" t="inlineStr">
        <is>
          <t>602-027</t>
        </is>
      </c>
      <c r="F172" s="5" t="inlineStr">
        <is>
          <t>*</t>
        </is>
      </c>
      <c r="G172" s="5" t="inlineStr">
        <is>
          <t>*</t>
        </is>
      </c>
      <c r="H172"/>
      <c r="I172"/>
      <c r="J172" s="5" t="inlineStr">
        <is>
          <t>1</t>
        </is>
      </c>
      <c r="K172" s="5" t="inlineStr">
        <is>
          <t>*</t>
        </is>
      </c>
      <c r="L172" t="n">
        <v>0.0</v>
      </c>
      <c r="M172" s="5" t="inlineStr">
        <is>
          <t>602</t>
        </is>
      </c>
      <c r="N172" s="5" t="inlineStr">
        <is>
          <t xml:space="preserve">  -</t>
        </is>
      </c>
      <c r="O172" s="5" t="inlineStr">
        <is>
          <t xml:space="preserve">  -</t>
        </is>
      </c>
      <c r="P172" s="5" t="inlineStr">
        <is>
          <t xml:space="preserve">  -</t>
        </is>
      </c>
      <c r="Q172" s="5" t="inlineStr">
        <is>
          <t>027</t>
        </is>
      </c>
      <c r="R172"/>
      <c r="S172" t="n">
        <v>5.0</v>
      </c>
      <c r="T172"/>
      <c r="U172" t="n">
        <v>5.0</v>
      </c>
      <c r="V172"/>
      <c r="W172" t="n">
        <v>0.0</v>
      </c>
      <c r="X172" t="n">
        <v>0.0</v>
      </c>
      <c r="Y172" t="n">
        <v>0.0</v>
      </c>
      <c r="Z172"/>
      <c r="AA172" t="n">
        <v>0.0</v>
      </c>
      <c r="AB172"/>
      <c r="AC172" t="n">
        <v>5.0</v>
      </c>
      <c r="AD172" s="5" t="inlineStr">
        <is>
          <t>pcs</t>
        </is>
      </c>
      <c r="AE172"/>
      <c r="AF172" s="5" t="inlineStr">
        <is>
          <t>pcs</t>
        </is>
      </c>
      <c r="AG172"/>
      <c r="AH172" t="inlineStr">
        <is>
          <t>No</t>
        </is>
      </c>
      <c r="AI172" s="2" t="n">
        <v>45841.408784722225</v>
      </c>
      <c r="AJ172" s="1" t="n">
        <f>DATE(2025,7,3)</f>
        <v>0.0</v>
      </c>
      <c r="AK172" t="inlineStr">
        <is>
          <t>Picking</t>
        </is>
      </c>
      <c r="AL172" s="2" t="n">
        <v>43804.47907407407</v>
      </c>
      <c r="AM172"/>
      <c r="AN172"/>
      <c r="AO172" t="n">
        <v>0.0</v>
      </c>
      <c r="AP172" t="n">
        <v>0.0</v>
      </c>
      <c r="AQ172"/>
      <c r="AR172" t="n">
        <v>5.666496494630598</v>
      </c>
      <c r="AS172" t="n">
        <v>28.332482473152993</v>
      </c>
      <c r="AT172" s="5" t="inlineStr">
        <is>
          <t>AUD</t>
        </is>
      </c>
      <c r="AU172" t="inlineStr">
        <is>
          <t>Company Owned</t>
        </is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t="n">
        <v>0.0</v>
      </c>
      <c r="BK172"/>
      <c r="BL172"/>
      <c r="BM172"/>
      <c r="BN172"/>
      <c r="BO172"/>
      <c r="BP172"/>
      <c r="BQ172"/>
      <c r="BR172"/>
      <c r="BS172"/>
      <c r="BT172"/>
      <c r="BU172" t="inlineStr">
        <is>
          <t>Yes</t>
        </is>
      </c>
      <c r="BV172"/>
      <c r="BW172"/>
      <c r="BX172"/>
    </row>
    <row r="173">
      <c r="A173" s="5" t="inlineStr">
        <is>
          <t>SERV</t>
        </is>
      </c>
      <c r="B173" s="5" t="inlineStr">
        <is>
          <t>140157</t>
        </is>
      </c>
      <c r="C173" s="5" t="inlineStr">
        <is>
          <t>Valve Solenoid Pilot Pneumatic N.C. Retrofit</t>
        </is>
      </c>
      <c r="D173" s="5" t="inlineStr">
        <is>
          <t>*</t>
        </is>
      </c>
      <c r="E173" s="5" t="inlineStr">
        <is>
          <t>602-027</t>
        </is>
      </c>
      <c r="F173" s="5" t="inlineStr">
        <is>
          <t>*</t>
        </is>
      </c>
      <c r="G173" s="5" t="inlineStr">
        <is>
          <t>*</t>
        </is>
      </c>
      <c r="H173"/>
      <c r="I173"/>
      <c r="J173" s="5" t="inlineStr">
        <is>
          <t>1</t>
        </is>
      </c>
      <c r="K173" s="5" t="inlineStr">
        <is>
          <t>*</t>
        </is>
      </c>
      <c r="L173" t="n">
        <v>0.0</v>
      </c>
      <c r="M173" s="5" t="inlineStr">
        <is>
          <t>602</t>
        </is>
      </c>
      <c r="N173" s="5" t="inlineStr">
        <is>
          <t xml:space="preserve">  -</t>
        </is>
      </c>
      <c r="O173" s="5" t="inlineStr">
        <is>
          <t xml:space="preserve">  -</t>
        </is>
      </c>
      <c r="P173" s="5" t="inlineStr">
        <is>
          <t xml:space="preserve">  -</t>
        </is>
      </c>
      <c r="Q173" s="5" t="inlineStr">
        <is>
          <t>027</t>
        </is>
      </c>
      <c r="R173"/>
      <c r="S173" t="n">
        <v>1.0</v>
      </c>
      <c r="T173"/>
      <c r="U173" t="n">
        <v>1.0</v>
      </c>
      <c r="V173"/>
      <c r="W173" t="n">
        <v>0.0</v>
      </c>
      <c r="X173" t="n">
        <v>0.0</v>
      </c>
      <c r="Y173" t="n">
        <v>0.0</v>
      </c>
      <c r="Z173"/>
      <c r="AA173" t="n">
        <v>0.0</v>
      </c>
      <c r="AB173"/>
      <c r="AC173" t="n">
        <v>1.0</v>
      </c>
      <c r="AD173" s="5" t="inlineStr">
        <is>
          <t>pcs</t>
        </is>
      </c>
      <c r="AE173"/>
      <c r="AF173" s="5" t="inlineStr">
        <is>
          <t>pcs</t>
        </is>
      </c>
      <c r="AG173"/>
      <c r="AH173" t="inlineStr">
        <is>
          <t>No</t>
        </is>
      </c>
      <c r="AI173" s="2" t="n">
        <v>45841.408784722225</v>
      </c>
      <c r="AJ173" s="1" t="n">
        <f>DATE(2025,7,3)</f>
        <v>0.0</v>
      </c>
      <c r="AK173" t="inlineStr">
        <is>
          <t>Picking</t>
        </is>
      </c>
      <c r="AL173" s="2" t="n">
        <v>44739.482719907406</v>
      </c>
      <c r="AM173"/>
      <c r="AN173"/>
      <c r="AO173" t="n">
        <v>0.0</v>
      </c>
      <c r="AP173" t="n">
        <v>0.0</v>
      </c>
      <c r="AQ173"/>
      <c r="AR173" t="n">
        <v>80.22793429146068</v>
      </c>
      <c r="AS173" t="n">
        <v>80.22793429146068</v>
      </c>
      <c r="AT173" s="5" t="inlineStr">
        <is>
          <t>AUD</t>
        </is>
      </c>
      <c r="AU173" t="inlineStr">
        <is>
          <t>Company Owned</t>
        </is>
      </c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t="n">
        <v>0.0</v>
      </c>
      <c r="BK173"/>
      <c r="BL173"/>
      <c r="BM173"/>
      <c r="BN173"/>
      <c r="BO173"/>
      <c r="BP173"/>
      <c r="BQ173"/>
      <c r="BR173"/>
      <c r="BS173"/>
      <c r="BT173"/>
      <c r="BU173" t="inlineStr">
        <is>
          <t>Yes</t>
        </is>
      </c>
      <c r="BV173"/>
      <c r="BW173"/>
      <c r="BX173"/>
    </row>
    <row r="174">
      <c r="A174" s="5" t="inlineStr">
        <is>
          <t>SERV</t>
        </is>
      </c>
      <c r="B174" s="5" t="inlineStr">
        <is>
          <t>BHT20212.01</t>
        </is>
      </c>
      <c r="C174" s="5" t="inlineStr">
        <is>
          <t>Spring for Door with Glass M4</t>
        </is>
      </c>
      <c r="D174" s="5" t="inlineStr">
        <is>
          <t>*</t>
        </is>
      </c>
      <c r="E174" s="5" t="inlineStr">
        <is>
          <t>602-060</t>
        </is>
      </c>
      <c r="F174" s="5" t="inlineStr">
        <is>
          <t>*</t>
        </is>
      </c>
      <c r="G174" s="5" t="inlineStr">
        <is>
          <t>*</t>
        </is>
      </c>
      <c r="H174"/>
      <c r="I174"/>
      <c r="J174" s="5" t="inlineStr">
        <is>
          <t>1</t>
        </is>
      </c>
      <c r="K174" s="5" t="inlineStr">
        <is>
          <t>*</t>
        </is>
      </c>
      <c r="L174" t="n">
        <v>0.0</v>
      </c>
      <c r="M174" s="5" t="inlineStr">
        <is>
          <t>602</t>
        </is>
      </c>
      <c r="N174" s="5" t="inlineStr">
        <is>
          <t xml:space="preserve">  -</t>
        </is>
      </c>
      <c r="O174" s="5" t="inlineStr">
        <is>
          <t xml:space="preserve">  -</t>
        </is>
      </c>
      <c r="P174" s="5" t="inlineStr">
        <is>
          <t xml:space="preserve">  -</t>
        </is>
      </c>
      <c r="Q174" s="5" t="inlineStr">
        <is>
          <t>060</t>
        </is>
      </c>
      <c r="R174"/>
      <c r="S174" t="n">
        <v>2.0</v>
      </c>
      <c r="T174"/>
      <c r="U174" t="n">
        <v>2.0</v>
      </c>
      <c r="V174"/>
      <c r="W174" t="n">
        <v>0.0</v>
      </c>
      <c r="X174" t="n">
        <v>0.0</v>
      </c>
      <c r="Y174" t="n">
        <v>0.0</v>
      </c>
      <c r="Z174"/>
      <c r="AA174" t="n">
        <v>0.0</v>
      </c>
      <c r="AB174"/>
      <c r="AC174" t="n">
        <v>2.0</v>
      </c>
      <c r="AD174" s="5" t="inlineStr">
        <is>
          <t>pcs</t>
        </is>
      </c>
      <c r="AE174"/>
      <c r="AF174" s="5" t="inlineStr">
        <is>
          <t>pcs</t>
        </is>
      </c>
      <c r="AG174"/>
      <c r="AH174" t="inlineStr">
        <is>
          <t>No</t>
        </is>
      </c>
      <c r="AI174" s="2" t="n">
        <v>45841.408796296295</v>
      </c>
      <c r="AJ174" s="1" t="n">
        <f>DATE(2025,7,3)</f>
        <v>0.0</v>
      </c>
      <c r="AK174" t="inlineStr">
        <is>
          <t>Picking</t>
        </is>
      </c>
      <c r="AL174" s="2" t="n">
        <v>42997.48866898148</v>
      </c>
      <c r="AM174"/>
      <c r="AN174"/>
      <c r="AO174" t="n">
        <v>0.0</v>
      </c>
      <c r="AP174" t="n">
        <v>0.0</v>
      </c>
      <c r="AQ174"/>
      <c r="AR174" t="n">
        <v>17.867111076580283</v>
      </c>
      <c r="AS174" t="n">
        <v>35.734222153160566</v>
      </c>
      <c r="AT174" s="5" t="inlineStr">
        <is>
          <t>AUD</t>
        </is>
      </c>
      <c r="AU174" t="inlineStr">
        <is>
          <t>Company Owned</t>
        </is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t="n">
        <v>0.0</v>
      </c>
      <c r="BK174"/>
      <c r="BL174"/>
      <c r="BM174"/>
      <c r="BN174"/>
      <c r="BO174"/>
      <c r="BP174"/>
      <c r="BQ174"/>
      <c r="BR174"/>
      <c r="BS174"/>
      <c r="BT174"/>
      <c r="BU174" t="inlineStr">
        <is>
          <t>Yes</t>
        </is>
      </c>
      <c r="BV174"/>
      <c r="BW174"/>
      <c r="BX174"/>
    </row>
    <row r="175">
      <c r="A175" s="5" t="inlineStr">
        <is>
          <t>SERV</t>
        </is>
      </c>
      <c r="B175" s="5" t="inlineStr">
        <is>
          <t>DRAGON-011</t>
        </is>
      </c>
      <c r="C175" s="5" t="inlineStr">
        <is>
          <t>Large &amp; Small Valve O-Ring</t>
        </is>
      </c>
      <c r="D175" s="5" t="inlineStr">
        <is>
          <t>*</t>
        </is>
      </c>
      <c r="E175" s="5" t="inlineStr">
        <is>
          <t>602-060</t>
        </is>
      </c>
      <c r="F175" s="5" t="inlineStr">
        <is>
          <t>*</t>
        </is>
      </c>
      <c r="G175" s="5" t="inlineStr">
        <is>
          <t>*</t>
        </is>
      </c>
      <c r="H175"/>
      <c r="I175"/>
      <c r="J175" s="5" t="inlineStr">
        <is>
          <t>1</t>
        </is>
      </c>
      <c r="K175" s="5" t="inlineStr">
        <is>
          <t>*</t>
        </is>
      </c>
      <c r="L175" t="n">
        <v>0.0</v>
      </c>
      <c r="M175" s="5" t="inlineStr">
        <is>
          <t>602</t>
        </is>
      </c>
      <c r="N175" s="5" t="inlineStr">
        <is>
          <t xml:space="preserve">  -</t>
        </is>
      </c>
      <c r="O175" s="5" t="inlineStr">
        <is>
          <t xml:space="preserve">  -</t>
        </is>
      </c>
      <c r="P175" s="5" t="inlineStr">
        <is>
          <t xml:space="preserve">  -</t>
        </is>
      </c>
      <c r="Q175" s="5" t="inlineStr">
        <is>
          <t>060</t>
        </is>
      </c>
      <c r="R175"/>
      <c r="S175" t="n">
        <v>2.0</v>
      </c>
      <c r="T175"/>
      <c r="U175" t="n">
        <v>2.0</v>
      </c>
      <c r="V175"/>
      <c r="W175" t="n">
        <v>0.0</v>
      </c>
      <c r="X175" t="n">
        <v>0.0</v>
      </c>
      <c r="Y175" t="n">
        <v>0.0</v>
      </c>
      <c r="Z175"/>
      <c r="AA175" t="n">
        <v>0.0</v>
      </c>
      <c r="AB175"/>
      <c r="AC175" t="n">
        <v>2.0</v>
      </c>
      <c r="AD175" s="5" t="inlineStr">
        <is>
          <t>ea</t>
        </is>
      </c>
      <c r="AE175"/>
      <c r="AF175" s="5" t="inlineStr">
        <is>
          <t>ea</t>
        </is>
      </c>
      <c r="AG175"/>
      <c r="AH175" t="inlineStr">
        <is>
          <t>No</t>
        </is>
      </c>
      <c r="AI175" s="2" t="n">
        <v>45841.408796296295</v>
      </c>
      <c r="AJ175" s="1" t="n">
        <f>DATE(2025,7,3)</f>
        <v>0.0</v>
      </c>
      <c r="AK175" t="inlineStr">
        <is>
          <t>Picking</t>
        </is>
      </c>
      <c r="AL175" s="2" t="n">
        <v>44839.53789351852</v>
      </c>
      <c r="AM175"/>
      <c r="AN175"/>
      <c r="AO175" t="n">
        <v>0.0</v>
      </c>
      <c r="AP175" t="n">
        <v>0.0</v>
      </c>
      <c r="AQ175"/>
      <c r="AR175" t="n">
        <v>1.0269008964319881</v>
      </c>
      <c r="AS175" t="n">
        <v>2.0538017928639762</v>
      </c>
      <c r="AT175" s="5" t="inlineStr">
        <is>
          <t>AUD</t>
        </is>
      </c>
      <c r="AU175" t="inlineStr">
        <is>
          <t>Company Owned</t>
        </is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t="n">
        <v>0.0</v>
      </c>
      <c r="BK175"/>
      <c r="BL175"/>
      <c r="BM175"/>
      <c r="BN175"/>
      <c r="BO175"/>
      <c r="BP175"/>
      <c r="BQ175"/>
      <c r="BR175"/>
      <c r="BS175"/>
      <c r="BT175"/>
      <c r="BU175" t="inlineStr">
        <is>
          <t>Yes</t>
        </is>
      </c>
      <c r="BV175"/>
      <c r="BW175"/>
      <c r="BX175"/>
    </row>
    <row r="176">
      <c r="A176" s="5" t="inlineStr">
        <is>
          <t>SERV</t>
        </is>
      </c>
      <c r="B176" s="5" t="inlineStr">
        <is>
          <t>140053</t>
        </is>
      </c>
      <c r="C176" s="5" t="inlineStr">
        <is>
          <t>Insert S/S 1/2 Tube</t>
        </is>
      </c>
      <c r="D176" s="5" t="inlineStr">
        <is>
          <t>*</t>
        </is>
      </c>
      <c r="E176" s="5" t="inlineStr">
        <is>
          <t>602-001</t>
        </is>
      </c>
      <c r="F176" s="5" t="inlineStr">
        <is>
          <t>*</t>
        </is>
      </c>
      <c r="G176" s="5" t="inlineStr">
        <is>
          <t>*</t>
        </is>
      </c>
      <c r="H176"/>
      <c r="I176"/>
      <c r="J176" s="5" t="inlineStr">
        <is>
          <t>1</t>
        </is>
      </c>
      <c r="K176" s="5" t="inlineStr">
        <is>
          <t>*</t>
        </is>
      </c>
      <c r="L176" t="n">
        <v>0.0</v>
      </c>
      <c r="M176" s="5" t="inlineStr">
        <is>
          <t>602</t>
        </is>
      </c>
      <c r="N176" s="5" t="inlineStr">
        <is>
          <t xml:space="preserve">  -</t>
        </is>
      </c>
      <c r="O176" s="5" t="inlineStr">
        <is>
          <t xml:space="preserve">  -</t>
        </is>
      </c>
      <c r="P176" s="5" t="inlineStr">
        <is>
          <t xml:space="preserve">  -</t>
        </is>
      </c>
      <c r="Q176" s="5" t="inlineStr">
        <is>
          <t>001</t>
        </is>
      </c>
      <c r="R176"/>
      <c r="S176" t="n">
        <v>4.0</v>
      </c>
      <c r="T176"/>
      <c r="U176" t="n">
        <v>4.0</v>
      </c>
      <c r="V176"/>
      <c r="W176" t="n">
        <v>0.0</v>
      </c>
      <c r="X176" t="n">
        <v>0.0</v>
      </c>
      <c r="Y176" t="n">
        <v>0.0</v>
      </c>
      <c r="Z176"/>
      <c r="AA176" t="n">
        <v>0.0</v>
      </c>
      <c r="AB176"/>
      <c r="AC176" t="n">
        <v>4.0</v>
      </c>
      <c r="AD176" s="5" t="inlineStr">
        <is>
          <t>pcs</t>
        </is>
      </c>
      <c r="AE176"/>
      <c r="AF176" s="5" t="inlineStr">
        <is>
          <t>pcs</t>
        </is>
      </c>
      <c r="AG176"/>
      <c r="AH176" t="inlineStr">
        <is>
          <t>No</t>
        </is>
      </c>
      <c r="AI176" s="2" t="n">
        <v>45841.4087037037</v>
      </c>
      <c r="AJ176" s="1" t="n">
        <f>DATE(2025,7,3)</f>
        <v>0.0</v>
      </c>
      <c r="AK176" t="inlineStr">
        <is>
          <t>Picking</t>
        </is>
      </c>
      <c r="AL176" s="2" t="n">
        <v>43425.365069444444</v>
      </c>
      <c r="AM176"/>
      <c r="AN176"/>
      <c r="AO176" t="n">
        <v>0.0</v>
      </c>
      <c r="AP176" t="n">
        <v>0.0</v>
      </c>
      <c r="AQ176"/>
      <c r="AR176" t="n">
        <v>2.999987793510834</v>
      </c>
      <c r="AS176" t="n">
        <v>11.999951174043336</v>
      </c>
      <c r="AT176" s="5" t="inlineStr">
        <is>
          <t>AUD</t>
        </is>
      </c>
      <c r="AU176" t="inlineStr">
        <is>
          <t>Company Owned</t>
        </is>
      </c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 t="n">
        <v>0.0</v>
      </c>
      <c r="BK176"/>
      <c r="BL176"/>
      <c r="BM176"/>
      <c r="BN176"/>
      <c r="BO176"/>
      <c r="BP176"/>
      <c r="BQ176"/>
      <c r="BR176"/>
      <c r="BS176"/>
      <c r="BT176"/>
      <c r="BU176" t="inlineStr">
        <is>
          <t>Yes</t>
        </is>
      </c>
      <c r="BV176"/>
      <c r="BW176"/>
      <c r="BX176"/>
    </row>
    <row r="177">
      <c r="A177" s="5" t="inlineStr">
        <is>
          <t>SERV</t>
        </is>
      </c>
      <c r="B177" s="5" t="inlineStr">
        <is>
          <t>BHT14088.00</t>
        </is>
      </c>
      <c r="C177" s="5" t="inlineStr">
        <is>
          <t>Front Glide Ledge (Straight)</t>
        </is>
      </c>
      <c r="D177" s="5" t="inlineStr">
        <is>
          <t>*</t>
        </is>
      </c>
      <c r="E177" s="5" t="inlineStr">
        <is>
          <t>602-060</t>
        </is>
      </c>
      <c r="F177" s="5" t="inlineStr">
        <is>
          <t>*</t>
        </is>
      </c>
      <c r="G177" s="5" t="inlineStr">
        <is>
          <t>*</t>
        </is>
      </c>
      <c r="H177"/>
      <c r="I177"/>
      <c r="J177" s="5" t="inlineStr">
        <is>
          <t>1</t>
        </is>
      </c>
      <c r="K177" s="5" t="inlineStr">
        <is>
          <t>*</t>
        </is>
      </c>
      <c r="L177" t="n">
        <v>0.0</v>
      </c>
      <c r="M177" s="5" t="inlineStr">
        <is>
          <t>602</t>
        </is>
      </c>
      <c r="N177" s="5" t="inlineStr">
        <is>
          <t xml:space="preserve">  -</t>
        </is>
      </c>
      <c r="O177" s="5" t="inlineStr">
        <is>
          <t xml:space="preserve">  -</t>
        </is>
      </c>
      <c r="P177" s="5" t="inlineStr">
        <is>
          <t xml:space="preserve">  -</t>
        </is>
      </c>
      <c r="Q177" s="5" t="inlineStr">
        <is>
          <t>060</t>
        </is>
      </c>
      <c r="R177"/>
      <c r="S177" t="n">
        <v>3.0</v>
      </c>
      <c r="T177"/>
      <c r="U177" t="n">
        <v>3.0</v>
      </c>
      <c r="V177"/>
      <c r="W177" t="n">
        <v>0.0</v>
      </c>
      <c r="X177" t="n">
        <v>0.0</v>
      </c>
      <c r="Y177" t="n">
        <v>0.0</v>
      </c>
      <c r="Z177"/>
      <c r="AA177" t="n">
        <v>0.0</v>
      </c>
      <c r="AB177"/>
      <c r="AC177" t="n">
        <v>3.0</v>
      </c>
      <c r="AD177" s="5" t="inlineStr">
        <is>
          <t>EA</t>
        </is>
      </c>
      <c r="AE177"/>
      <c r="AF177" s="5" t="inlineStr">
        <is>
          <t>EA</t>
        </is>
      </c>
      <c r="AG177"/>
      <c r="AH177" t="inlineStr">
        <is>
          <t>No</t>
        </is>
      </c>
      <c r="AI177" s="2" t="n">
        <v>45841.40898148148</v>
      </c>
      <c r="AJ177"/>
      <c r="AK177" t="inlineStr">
        <is>
          <t>Picking</t>
        </is>
      </c>
      <c r="AL177" s="2" t="n">
        <v>45608.54540509259</v>
      </c>
      <c r="AM177"/>
      <c r="AN177"/>
      <c r="AO177" t="n">
        <v>0.0</v>
      </c>
      <c r="AP177" t="n">
        <v>0.0</v>
      </c>
      <c r="AQ177"/>
      <c r="AR177" t="n">
        <v>272.6239182180897</v>
      </c>
      <c r="AS177" t="n">
        <v>817.8717546542691</v>
      </c>
      <c r="AT177" s="5" t="inlineStr">
        <is>
          <t>AUD</t>
        </is>
      </c>
      <c r="AU177" t="inlineStr">
        <is>
          <t>Company Owned</t>
        </is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t="n">
        <v>0.0</v>
      </c>
      <c r="BK177"/>
      <c r="BL177"/>
      <c r="BM177"/>
      <c r="BN177"/>
      <c r="BO177"/>
      <c r="BP177"/>
      <c r="BQ177"/>
      <c r="BR177"/>
      <c r="BS177"/>
      <c r="BT177"/>
      <c r="BU177" t="inlineStr">
        <is>
          <t>Yes</t>
        </is>
      </c>
      <c r="BV177"/>
      <c r="BW177"/>
      <c r="BX177"/>
    </row>
    <row r="178">
      <c r="A178" s="5" t="inlineStr">
        <is>
          <t>SERV</t>
        </is>
      </c>
      <c r="B178" s="5" t="inlineStr">
        <is>
          <t>140167</t>
        </is>
      </c>
      <c r="C178" s="5" t="inlineStr">
        <is>
          <t>Kit Internal set for Trap Air &amp; Steam S/S 15mm</t>
        </is>
      </c>
      <c r="D178" s="5" t="inlineStr">
        <is>
          <t>*</t>
        </is>
      </c>
      <c r="E178" s="5" t="inlineStr">
        <is>
          <t>602-019</t>
        </is>
      </c>
      <c r="F178" s="5" t="inlineStr">
        <is>
          <t>*</t>
        </is>
      </c>
      <c r="G178" s="5" t="inlineStr">
        <is>
          <t>*</t>
        </is>
      </c>
      <c r="H178"/>
      <c r="I178"/>
      <c r="J178" s="5" t="inlineStr">
        <is>
          <t>1</t>
        </is>
      </c>
      <c r="K178" s="5" t="inlineStr">
        <is>
          <t>*</t>
        </is>
      </c>
      <c r="L178" t="n">
        <v>0.0</v>
      </c>
      <c r="M178" s="5" t="inlineStr">
        <is>
          <t>602</t>
        </is>
      </c>
      <c r="N178" s="5" t="inlineStr">
        <is>
          <t xml:space="preserve">  -</t>
        </is>
      </c>
      <c r="O178" s="5" t="inlineStr">
        <is>
          <t xml:space="preserve">  -</t>
        </is>
      </c>
      <c r="P178" s="5" t="inlineStr">
        <is>
          <t xml:space="preserve">  -</t>
        </is>
      </c>
      <c r="Q178" s="5" t="inlineStr">
        <is>
          <t>019</t>
        </is>
      </c>
      <c r="R178"/>
      <c r="S178" t="n">
        <v>10.0</v>
      </c>
      <c r="T178"/>
      <c r="U178" t="n">
        <v>10.0</v>
      </c>
      <c r="V178"/>
      <c r="W178" t="n">
        <v>0.0</v>
      </c>
      <c r="X178" t="n">
        <v>0.0</v>
      </c>
      <c r="Y178" t="n">
        <v>0.0</v>
      </c>
      <c r="Z178"/>
      <c r="AA178" t="n">
        <v>0.0</v>
      </c>
      <c r="AB178"/>
      <c r="AC178" t="n">
        <v>10.0</v>
      </c>
      <c r="AD178" s="5" t="inlineStr">
        <is>
          <t>ea</t>
        </is>
      </c>
      <c r="AE178"/>
      <c r="AF178" s="5" t="inlineStr">
        <is>
          <t>ea</t>
        </is>
      </c>
      <c r="AG178"/>
      <c r="AH178" t="inlineStr">
        <is>
          <t>No</t>
        </is>
      </c>
      <c r="AI178" s="2" t="n">
        <v>46058.42903935185</v>
      </c>
      <c r="AJ178" s="1" t="n">
        <f>DATE(2025,7,3)</f>
        <v>0.0</v>
      </c>
      <c r="AK178" t="inlineStr">
        <is>
          <t>Picking</t>
        </is>
      </c>
      <c r="AL178" s="2" t="n">
        <v>42095.566655092596</v>
      </c>
      <c r="AM178"/>
      <c r="AN178"/>
      <c r="AO178" t="n">
        <v>0.0</v>
      </c>
      <c r="AP178" t="n">
        <v>1.0</v>
      </c>
      <c r="AQ178"/>
      <c r="AR178" t="n">
        <v>216.66424274364655</v>
      </c>
      <c r="AS178" t="n">
        <v>2166.6424274364654</v>
      </c>
      <c r="AT178" s="5" t="inlineStr">
        <is>
          <t>AUD</t>
        </is>
      </c>
      <c r="AU178" t="inlineStr">
        <is>
          <t>Company Owned</t>
        </is>
      </c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t="n">
        <v>0.0</v>
      </c>
      <c r="BK178"/>
      <c r="BL178"/>
      <c r="BM178"/>
      <c r="BN178"/>
      <c r="BO178"/>
      <c r="BP178"/>
      <c r="BQ178"/>
      <c r="BR178"/>
      <c r="BS178"/>
      <c r="BT178"/>
      <c r="BU178" t="inlineStr">
        <is>
          <t>Yes</t>
        </is>
      </c>
      <c r="BV178"/>
      <c r="BW178"/>
      <c r="BX178"/>
    </row>
    <row r="179">
      <c r="A179" s="5" t="inlineStr">
        <is>
          <t>SERV</t>
        </is>
      </c>
      <c r="B179" s="5" t="inlineStr">
        <is>
          <t>BHT29007.24</t>
        </is>
      </c>
      <c r="C179" s="5" t="inlineStr">
        <is>
          <t>Relay Phoenix Contact 24V, 1W, 6A MR- 24DC/21</t>
        </is>
      </c>
      <c r="D179" s="5" t="inlineStr">
        <is>
          <t>*</t>
        </is>
      </c>
      <c r="E179" s="5" t="inlineStr">
        <is>
          <t>602-009</t>
        </is>
      </c>
      <c r="F179" s="5" t="inlineStr">
        <is>
          <t>*</t>
        </is>
      </c>
      <c r="G179" s="5" t="inlineStr">
        <is>
          <t>*</t>
        </is>
      </c>
      <c r="H179"/>
      <c r="I179"/>
      <c r="J179" s="5" t="inlineStr">
        <is>
          <t>1</t>
        </is>
      </c>
      <c r="K179" s="5" t="inlineStr">
        <is>
          <t>*</t>
        </is>
      </c>
      <c r="L179" t="n">
        <v>0.0</v>
      </c>
      <c r="M179" s="5" t="inlineStr">
        <is>
          <t>602</t>
        </is>
      </c>
      <c r="N179" s="5" t="inlineStr">
        <is>
          <t xml:space="preserve">  -</t>
        </is>
      </c>
      <c r="O179" s="5" t="inlineStr">
        <is>
          <t xml:space="preserve">  -</t>
        </is>
      </c>
      <c r="P179" s="5" t="inlineStr">
        <is>
          <t xml:space="preserve">  -</t>
        </is>
      </c>
      <c r="Q179" s="5" t="inlineStr">
        <is>
          <t>009</t>
        </is>
      </c>
      <c r="R179"/>
      <c r="S179" t="n">
        <v>1.0</v>
      </c>
      <c r="T179"/>
      <c r="U179" t="n">
        <v>1.0</v>
      </c>
      <c r="V179"/>
      <c r="W179" t="n">
        <v>0.0</v>
      </c>
      <c r="X179" t="n">
        <v>0.0</v>
      </c>
      <c r="Y179" t="n">
        <v>0.0</v>
      </c>
      <c r="Z179"/>
      <c r="AA179" t="n">
        <v>0.0</v>
      </c>
      <c r="AB179"/>
      <c r="AC179" t="n">
        <v>1.0</v>
      </c>
      <c r="AD179" s="5" t="inlineStr">
        <is>
          <t>ea</t>
        </is>
      </c>
      <c r="AE179"/>
      <c r="AF179" s="5" t="inlineStr">
        <is>
          <t>ea</t>
        </is>
      </c>
      <c r="AG179"/>
      <c r="AH179" t="inlineStr">
        <is>
          <t>No</t>
        </is>
      </c>
      <c r="AI179" s="2" t="n">
        <v>45841.408738425926</v>
      </c>
      <c r="AJ179" s="1" t="n">
        <f>DATE(2025,7,3)</f>
        <v>0.0</v>
      </c>
      <c r="AK179" t="inlineStr">
        <is>
          <t>Picking</t>
        </is>
      </c>
      <c r="AL179" s="2" t="n">
        <v>43754.550462962965</v>
      </c>
      <c r="AM179"/>
      <c r="AN179"/>
      <c r="AO179" t="n">
        <v>0.0</v>
      </c>
      <c r="AP179" t="n">
        <v>0.0</v>
      </c>
      <c r="AQ179"/>
      <c r="AR179" t="n">
        <v>37.069708551903794</v>
      </c>
      <c r="AS179" t="n">
        <v>37.069708551903794</v>
      </c>
      <c r="AT179" s="5" t="inlineStr">
        <is>
          <t>AUD</t>
        </is>
      </c>
      <c r="AU179" t="inlineStr">
        <is>
          <t>Company Owned</t>
        </is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 t="n">
        <v>0.0</v>
      </c>
      <c r="BK179"/>
      <c r="BL179"/>
      <c r="BM179"/>
      <c r="BN179"/>
      <c r="BO179"/>
      <c r="BP179"/>
      <c r="BQ179"/>
      <c r="BR179"/>
      <c r="BS179"/>
      <c r="BT179"/>
      <c r="BU179" t="inlineStr">
        <is>
          <t>Yes</t>
        </is>
      </c>
      <c r="BV179"/>
      <c r="BW179"/>
      <c r="BX179"/>
    </row>
    <row r="180">
      <c r="A180" s="5" t="inlineStr">
        <is>
          <t>SERV</t>
        </is>
      </c>
      <c r="B180" s="5" t="inlineStr">
        <is>
          <t>830972</t>
        </is>
      </c>
      <c r="C180" s="5" t="inlineStr">
        <is>
          <t>Ferrule S/S 1/2 Hylok</t>
        </is>
      </c>
      <c r="D180" s="5" t="inlineStr">
        <is>
          <t>*</t>
        </is>
      </c>
      <c r="E180" s="5" t="inlineStr">
        <is>
          <t>602-060</t>
        </is>
      </c>
      <c r="F180" s="5" t="inlineStr">
        <is>
          <t>*</t>
        </is>
      </c>
      <c r="G180" s="5" t="inlineStr">
        <is>
          <t>*</t>
        </is>
      </c>
      <c r="H180"/>
      <c r="I180"/>
      <c r="J180" s="5" t="inlineStr">
        <is>
          <t>1</t>
        </is>
      </c>
      <c r="K180" s="5" t="inlineStr">
        <is>
          <t>*</t>
        </is>
      </c>
      <c r="L180" t="n">
        <v>0.0</v>
      </c>
      <c r="M180" s="5" t="inlineStr">
        <is>
          <t>602</t>
        </is>
      </c>
      <c r="N180" s="5" t="inlineStr">
        <is>
          <t xml:space="preserve">  -</t>
        </is>
      </c>
      <c r="O180" s="5" t="inlineStr">
        <is>
          <t xml:space="preserve">  -</t>
        </is>
      </c>
      <c r="P180" s="5" t="inlineStr">
        <is>
          <t xml:space="preserve">  -</t>
        </is>
      </c>
      <c r="Q180" s="5" t="inlineStr">
        <is>
          <t>060</t>
        </is>
      </c>
      <c r="R180"/>
      <c r="S180" t="n">
        <v>10.0</v>
      </c>
      <c r="T180"/>
      <c r="U180" t="n">
        <v>10.0</v>
      </c>
      <c r="V180"/>
      <c r="W180" t="n">
        <v>0.0</v>
      </c>
      <c r="X180" t="n">
        <v>0.0</v>
      </c>
      <c r="Y180" t="n">
        <v>0.0</v>
      </c>
      <c r="Z180"/>
      <c r="AA180" t="n">
        <v>0.0</v>
      </c>
      <c r="AB180"/>
      <c r="AC180" t="n">
        <v>10.0</v>
      </c>
      <c r="AD180" s="5" t="inlineStr">
        <is>
          <t>pcs</t>
        </is>
      </c>
      <c r="AE180"/>
      <c r="AF180" s="5" t="inlineStr">
        <is>
          <t>pcs</t>
        </is>
      </c>
      <c r="AG180"/>
      <c r="AH180" t="inlineStr">
        <is>
          <t>No</t>
        </is>
      </c>
      <c r="AI180" s="2" t="n">
        <v>45968.42466435185</v>
      </c>
      <c r="AJ180" s="1" t="n">
        <f>DATE(2025,7,3)</f>
        <v>0.0</v>
      </c>
      <c r="AK180" t="inlineStr">
        <is>
          <t>Picking</t>
        </is>
      </c>
      <c r="AL180" s="2" t="n">
        <v>41729.3549537037</v>
      </c>
      <c r="AM180"/>
      <c r="AN180"/>
      <c r="AO180" t="n">
        <v>0.0</v>
      </c>
      <c r="AP180" t="n">
        <v>0.0</v>
      </c>
      <c r="AQ180"/>
      <c r="AR180" t="n">
        <v>2.9943055400697776</v>
      </c>
      <c r="AS180" t="n">
        <v>29.943055400697776</v>
      </c>
      <c r="AT180" s="5" t="inlineStr">
        <is>
          <t>AUD</t>
        </is>
      </c>
      <c r="AU180" t="inlineStr">
        <is>
          <t>Company Owned</t>
        </is>
      </c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 t="n">
        <v>0.0</v>
      </c>
      <c r="BK180"/>
      <c r="BL180"/>
      <c r="BM180"/>
      <c r="BN180"/>
      <c r="BO180"/>
      <c r="BP180"/>
      <c r="BQ180"/>
      <c r="BR180"/>
      <c r="BS180"/>
      <c r="BT180"/>
      <c r="BU180" t="inlineStr">
        <is>
          <t>Yes</t>
        </is>
      </c>
      <c r="BV180"/>
      <c r="BW180"/>
      <c r="BX180"/>
    </row>
    <row r="181">
      <c r="A181" s="5" t="inlineStr">
        <is>
          <t>SERV</t>
        </is>
      </c>
      <c r="B181" s="5" t="inlineStr">
        <is>
          <t>830975</t>
        </is>
      </c>
      <c r="C181" s="5" t="inlineStr">
        <is>
          <t>Ferrule S/S 12mm Hylok for Generator Float</t>
        </is>
      </c>
      <c r="D181" s="5" t="inlineStr">
        <is>
          <t>*</t>
        </is>
      </c>
      <c r="E181" s="5" t="inlineStr">
        <is>
          <t>602-022</t>
        </is>
      </c>
      <c r="F181" s="5" t="inlineStr">
        <is>
          <t>*</t>
        </is>
      </c>
      <c r="G181" s="5" t="inlineStr">
        <is>
          <t>*</t>
        </is>
      </c>
      <c r="H181"/>
      <c r="I181"/>
      <c r="J181" s="5" t="inlineStr">
        <is>
          <t>1</t>
        </is>
      </c>
      <c r="K181" s="5" t="inlineStr">
        <is>
          <t>*</t>
        </is>
      </c>
      <c r="L181" t="n">
        <v>0.0</v>
      </c>
      <c r="M181" s="5" t="inlineStr">
        <is>
          <t>602</t>
        </is>
      </c>
      <c r="N181" s="5" t="inlineStr">
        <is>
          <t xml:space="preserve">  -</t>
        </is>
      </c>
      <c r="O181" s="5" t="inlineStr">
        <is>
          <t xml:space="preserve">  -</t>
        </is>
      </c>
      <c r="P181" s="5" t="inlineStr">
        <is>
          <t xml:space="preserve">  -</t>
        </is>
      </c>
      <c r="Q181" s="5" t="inlineStr">
        <is>
          <t>022</t>
        </is>
      </c>
      <c r="R181"/>
      <c r="S181" t="n">
        <v>20.0</v>
      </c>
      <c r="T181"/>
      <c r="U181" t="n">
        <v>20.0</v>
      </c>
      <c r="V181"/>
      <c r="W181" t="n">
        <v>0.0</v>
      </c>
      <c r="X181" t="n">
        <v>0.0</v>
      </c>
      <c r="Y181" t="n">
        <v>0.0</v>
      </c>
      <c r="Z181"/>
      <c r="AA181" t="n">
        <v>0.0</v>
      </c>
      <c r="AB181"/>
      <c r="AC181" t="n">
        <v>20.0</v>
      </c>
      <c r="AD181" s="5" t="inlineStr">
        <is>
          <t>pcs</t>
        </is>
      </c>
      <c r="AE181"/>
      <c r="AF181" s="5" t="inlineStr">
        <is>
          <t>pcs</t>
        </is>
      </c>
      <c r="AG181"/>
      <c r="AH181" t="inlineStr">
        <is>
          <t>No</t>
        </is>
      </c>
      <c r="AI181" s="2" t="n">
        <v>45841.40876157407</v>
      </c>
      <c r="AJ181" s="1" t="n">
        <f>DATE(2025,7,3)</f>
        <v>0.0</v>
      </c>
      <c r="AK181" t="inlineStr">
        <is>
          <t>Picking</t>
        </is>
      </c>
      <c r="AL181" s="2" t="n">
        <v>42079.356527777774</v>
      </c>
      <c r="AM181"/>
      <c r="AN181"/>
      <c r="AO181" t="n">
        <v>0.0</v>
      </c>
      <c r="AP181" t="n">
        <v>0.0</v>
      </c>
      <c r="AQ181"/>
      <c r="AR181" t="n">
        <v>2.65</v>
      </c>
      <c r="AS181" t="n">
        <v>53.0</v>
      </c>
      <c r="AT181" s="5" t="inlineStr">
        <is>
          <t>AUD</t>
        </is>
      </c>
      <c r="AU181" t="inlineStr">
        <is>
          <t>Company Owned</t>
        </is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 t="n">
        <v>0.0</v>
      </c>
      <c r="BK181"/>
      <c r="BL181"/>
      <c r="BM181"/>
      <c r="BN181"/>
      <c r="BO181"/>
      <c r="BP181"/>
      <c r="BQ181"/>
      <c r="BR181"/>
      <c r="BS181"/>
      <c r="BT181"/>
      <c r="BU181" t="inlineStr">
        <is>
          <t>Yes</t>
        </is>
      </c>
      <c r="BV181"/>
      <c r="BW181"/>
      <c r="BX181"/>
    </row>
    <row r="182">
      <c r="A182" s="5" t="inlineStr">
        <is>
          <t>SERV</t>
        </is>
      </c>
      <c r="B182" s="5" t="inlineStr">
        <is>
          <t>BHT14116.40</t>
        </is>
      </c>
      <c r="C182" s="5" t="inlineStr">
        <is>
          <t>Water Flap M5/ISO</t>
        </is>
      </c>
      <c r="D182" s="5" t="inlineStr">
        <is>
          <t>*</t>
        </is>
      </c>
      <c r="E182" s="5" t="inlineStr">
        <is>
          <t>602-060</t>
        </is>
      </c>
      <c r="F182" s="5" t="inlineStr">
        <is>
          <t>*</t>
        </is>
      </c>
      <c r="G182" s="5" t="inlineStr">
        <is>
          <t>*</t>
        </is>
      </c>
      <c r="H182"/>
      <c r="I182"/>
      <c r="J182" s="5" t="inlineStr">
        <is>
          <t>1</t>
        </is>
      </c>
      <c r="K182" s="5" t="inlineStr">
        <is>
          <t>*</t>
        </is>
      </c>
      <c r="L182" t="n">
        <v>0.0</v>
      </c>
      <c r="M182" s="5" t="inlineStr">
        <is>
          <t>602</t>
        </is>
      </c>
      <c r="N182" s="5" t="inlineStr">
        <is>
          <t xml:space="preserve">  -</t>
        </is>
      </c>
      <c r="O182" s="5" t="inlineStr">
        <is>
          <t xml:space="preserve">  -</t>
        </is>
      </c>
      <c r="P182" s="5" t="inlineStr">
        <is>
          <t xml:space="preserve">  -</t>
        </is>
      </c>
      <c r="Q182" s="5" t="inlineStr">
        <is>
          <t>060</t>
        </is>
      </c>
      <c r="R182"/>
      <c r="S182" t="n">
        <v>1.0</v>
      </c>
      <c r="T182"/>
      <c r="U182" t="n">
        <v>1.0</v>
      </c>
      <c r="V182"/>
      <c r="W182" t="n">
        <v>0.0</v>
      </c>
      <c r="X182" t="n">
        <v>0.0</v>
      </c>
      <c r="Y182" t="n">
        <v>0.0</v>
      </c>
      <c r="Z182"/>
      <c r="AA182" t="n">
        <v>0.0</v>
      </c>
      <c r="AB182"/>
      <c r="AC182" t="n">
        <v>1.0</v>
      </c>
      <c r="AD182" s="5" t="inlineStr">
        <is>
          <t>pcs</t>
        </is>
      </c>
      <c r="AE182"/>
      <c r="AF182" s="5" t="inlineStr">
        <is>
          <t>pcs</t>
        </is>
      </c>
      <c r="AG182"/>
      <c r="AH182" t="inlineStr">
        <is>
          <t>No</t>
        </is>
      </c>
      <c r="AI182" s="2" t="n">
        <v>46069.40605324074</v>
      </c>
      <c r="AJ182" s="1" t="n">
        <f>DATE(2024,8,15)</f>
        <v>0.0</v>
      </c>
      <c r="AK182" t="inlineStr">
        <is>
          <t>Picking</t>
        </is>
      </c>
      <c r="AL182" s="2" t="n">
        <v>43416.66846064815</v>
      </c>
      <c r="AM182"/>
      <c r="AN182"/>
      <c r="AO182" t="n">
        <v>0.0</v>
      </c>
      <c r="AP182" t="n">
        <v>0.0</v>
      </c>
      <c r="AQ182"/>
      <c r="AR182" t="n">
        <v>733.7128688010044</v>
      </c>
      <c r="AS182" t="n">
        <v>733.7128688010044</v>
      </c>
      <c r="AT182" s="5" t="inlineStr">
        <is>
          <t>AUD</t>
        </is>
      </c>
      <c r="AU182" t="inlineStr">
        <is>
          <t>Company Owned</t>
        </is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t="n">
        <v>0.0</v>
      </c>
      <c r="BK182"/>
      <c r="BL182"/>
      <c r="BM182"/>
      <c r="BN182"/>
      <c r="BO182"/>
      <c r="BP182"/>
      <c r="BQ182"/>
      <c r="BR182"/>
      <c r="BS182"/>
      <c r="BT182"/>
      <c r="BU182" t="inlineStr">
        <is>
          <t>Yes</t>
        </is>
      </c>
      <c r="BV182"/>
      <c r="BW182"/>
      <c r="BX182"/>
    </row>
    <row r="183">
      <c r="A183" s="5" t="inlineStr">
        <is>
          <t>SERV</t>
        </is>
      </c>
      <c r="B183" s="5" t="inlineStr">
        <is>
          <t>BHT 14089.00</t>
        </is>
      </c>
      <c r="C183" s="5" t="inlineStr">
        <is>
          <t>Glide Ledge (Angled)</t>
        </is>
      </c>
      <c r="D183" s="5" t="inlineStr">
        <is>
          <t>*</t>
        </is>
      </c>
      <c r="E183" s="5" t="inlineStr">
        <is>
          <t>602-060</t>
        </is>
      </c>
      <c r="F183" s="5" t="inlineStr">
        <is>
          <t>*</t>
        </is>
      </c>
      <c r="G183" s="5" t="inlineStr">
        <is>
          <t>*</t>
        </is>
      </c>
      <c r="H183"/>
      <c r="I183"/>
      <c r="J183" s="5" t="inlineStr">
        <is>
          <t>1</t>
        </is>
      </c>
      <c r="K183" s="5" t="inlineStr">
        <is>
          <t>*</t>
        </is>
      </c>
      <c r="L183" t="n">
        <v>0.0</v>
      </c>
      <c r="M183" s="5" t="inlineStr">
        <is>
          <t>602</t>
        </is>
      </c>
      <c r="N183" s="5" t="inlineStr">
        <is>
          <t xml:space="preserve">  -</t>
        </is>
      </c>
      <c r="O183" s="5" t="inlineStr">
        <is>
          <t xml:space="preserve">  -</t>
        </is>
      </c>
      <c r="P183" s="5" t="inlineStr">
        <is>
          <t xml:space="preserve">  -</t>
        </is>
      </c>
      <c r="Q183" s="5" t="inlineStr">
        <is>
          <t>060</t>
        </is>
      </c>
      <c r="R183"/>
      <c r="S183" t="n">
        <v>6.0</v>
      </c>
      <c r="T183"/>
      <c r="U183" t="n">
        <v>6.0</v>
      </c>
      <c r="V183"/>
      <c r="W183" t="n">
        <v>0.0</v>
      </c>
      <c r="X183" t="n">
        <v>0.0</v>
      </c>
      <c r="Y183" t="n">
        <v>0.0</v>
      </c>
      <c r="Z183"/>
      <c r="AA183" t="n">
        <v>0.0</v>
      </c>
      <c r="AB183"/>
      <c r="AC183" t="n">
        <v>6.0</v>
      </c>
      <c r="AD183" s="5" t="inlineStr">
        <is>
          <t>EA</t>
        </is>
      </c>
      <c r="AE183"/>
      <c r="AF183" s="5" t="inlineStr">
        <is>
          <t>EA</t>
        </is>
      </c>
      <c r="AG183"/>
      <c r="AH183" t="inlineStr">
        <is>
          <t>No</t>
        </is>
      </c>
      <c r="AI183" s="2" t="n">
        <v>45841.40898148148</v>
      </c>
      <c r="AJ183"/>
      <c r="AK183" t="inlineStr">
        <is>
          <t>Picking</t>
        </is>
      </c>
      <c r="AL183" s="2" t="n">
        <v>45610.626539351855</v>
      </c>
      <c r="AM183"/>
      <c r="AN183"/>
      <c r="AO183" t="n">
        <v>0.0</v>
      </c>
      <c r="AP183" t="n">
        <v>0.0</v>
      </c>
      <c r="AQ183"/>
      <c r="AR183" t="n">
        <v>386.8037184308959</v>
      </c>
      <c r="AS183" t="n">
        <v>2320.822310585376</v>
      </c>
      <c r="AT183" s="5" t="inlineStr">
        <is>
          <t>AUD</t>
        </is>
      </c>
      <c r="AU183" t="inlineStr">
        <is>
          <t>Company Owned</t>
        </is>
      </c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 t="n">
        <v>0.0</v>
      </c>
      <c r="BK183"/>
      <c r="BL183"/>
      <c r="BM183"/>
      <c r="BN183"/>
      <c r="BO183"/>
      <c r="BP183"/>
      <c r="BQ183"/>
      <c r="BR183"/>
      <c r="BS183"/>
      <c r="BT183"/>
      <c r="BU183" t="inlineStr">
        <is>
          <t>Yes</t>
        </is>
      </c>
      <c r="BV183"/>
      <c r="BW183"/>
      <c r="BX183"/>
    </row>
    <row r="184">
      <c r="A184" s="5" t="inlineStr">
        <is>
          <t>SERV</t>
        </is>
      </c>
      <c r="B184" s="5" t="inlineStr">
        <is>
          <t>140101</t>
        </is>
      </c>
      <c r="C184" s="5" t="inlineStr">
        <is>
          <t>Validation Lead T-Type</t>
        </is>
      </c>
      <c r="D184" s="5" t="inlineStr">
        <is>
          <t>*</t>
        </is>
      </c>
      <c r="E184" s="5" t="inlineStr">
        <is>
          <t>602-060</t>
        </is>
      </c>
      <c r="F184" s="5" t="inlineStr">
        <is>
          <t>*</t>
        </is>
      </c>
      <c r="G184" s="5" t="inlineStr">
        <is>
          <t>*</t>
        </is>
      </c>
      <c r="H184"/>
      <c r="I184"/>
      <c r="J184" s="5" t="inlineStr">
        <is>
          <t>1</t>
        </is>
      </c>
      <c r="K184" s="5" t="inlineStr">
        <is>
          <t>*</t>
        </is>
      </c>
      <c r="L184" t="n">
        <v>0.0</v>
      </c>
      <c r="M184" s="5" t="inlineStr">
        <is>
          <t>602</t>
        </is>
      </c>
      <c r="N184" s="5" t="inlineStr">
        <is>
          <t xml:space="preserve">  -</t>
        </is>
      </c>
      <c r="O184" s="5" t="inlineStr">
        <is>
          <t xml:space="preserve">  -</t>
        </is>
      </c>
      <c r="P184" s="5" t="inlineStr">
        <is>
          <t xml:space="preserve">  -</t>
        </is>
      </c>
      <c r="Q184" s="5" t="inlineStr">
        <is>
          <t>060</t>
        </is>
      </c>
      <c r="R184"/>
      <c r="S184" t="n">
        <v>3.0</v>
      </c>
      <c r="T184"/>
      <c r="U184" t="n">
        <v>3.0</v>
      </c>
      <c r="V184"/>
      <c r="W184" t="n">
        <v>0.0</v>
      </c>
      <c r="X184" t="n">
        <v>0.0</v>
      </c>
      <c r="Y184" t="n">
        <v>0.0</v>
      </c>
      <c r="Z184"/>
      <c r="AA184" t="n">
        <v>0.0</v>
      </c>
      <c r="AB184"/>
      <c r="AC184" t="n">
        <v>3.0</v>
      </c>
      <c r="AD184" s="5" t="inlineStr">
        <is>
          <t>pcs</t>
        </is>
      </c>
      <c r="AE184"/>
      <c r="AF184" s="5" t="inlineStr">
        <is>
          <t>pcs</t>
        </is>
      </c>
      <c r="AG184"/>
      <c r="AH184" t="inlineStr">
        <is>
          <t>No</t>
        </is>
      </c>
      <c r="AI184" s="2" t="n">
        <v>45841.408784722225</v>
      </c>
      <c r="AJ184" s="1" t="n">
        <f>DATE(2025,7,3)</f>
        <v>0.0</v>
      </c>
      <c r="AK184" t="inlineStr">
        <is>
          <t>Picking</t>
        </is>
      </c>
      <c r="AL184" s="2" t="n">
        <v>42531.56318287037</v>
      </c>
      <c r="AM184"/>
      <c r="AN184"/>
      <c r="AO184" t="n">
        <v>0.0</v>
      </c>
      <c r="AP184" t="n">
        <v>0.0</v>
      </c>
      <c r="AQ184"/>
      <c r="AR184" t="n">
        <v>51.200995836759866</v>
      </c>
      <c r="AS184" t="n">
        <v>153.6029875102796</v>
      </c>
      <c r="AT184" s="5" t="inlineStr">
        <is>
          <t>AUD</t>
        </is>
      </c>
      <c r="AU184" t="inlineStr">
        <is>
          <t>Company Owned</t>
        </is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 t="n">
        <v>0.0</v>
      </c>
      <c r="BK184"/>
      <c r="BL184"/>
      <c r="BM184"/>
      <c r="BN184"/>
      <c r="BO184"/>
      <c r="BP184"/>
      <c r="BQ184"/>
      <c r="BR184"/>
      <c r="BS184"/>
      <c r="BT184"/>
      <c r="BU184" t="inlineStr">
        <is>
          <t>Yes</t>
        </is>
      </c>
      <c r="BV184"/>
      <c r="BW184"/>
      <c r="BX184"/>
    </row>
    <row r="185">
      <c r="A185" s="5" t="inlineStr">
        <is>
          <t>SERV</t>
        </is>
      </c>
      <c r="B185" s="5" t="inlineStr">
        <is>
          <t>140102</t>
        </is>
      </c>
      <c r="C185" s="5" t="inlineStr">
        <is>
          <t>Plug T-Type</t>
        </is>
      </c>
      <c r="D185" s="5" t="inlineStr">
        <is>
          <t>*</t>
        </is>
      </c>
      <c r="E185" s="5" t="inlineStr">
        <is>
          <t>602-060</t>
        </is>
      </c>
      <c r="F185" s="5" t="inlineStr">
        <is>
          <t>*</t>
        </is>
      </c>
      <c r="G185" s="5" t="inlineStr">
        <is>
          <t>*</t>
        </is>
      </c>
      <c r="H185"/>
      <c r="I185"/>
      <c r="J185" s="5" t="inlineStr">
        <is>
          <t>1</t>
        </is>
      </c>
      <c r="K185" s="5" t="inlineStr">
        <is>
          <t>*</t>
        </is>
      </c>
      <c r="L185" t="n">
        <v>0.0</v>
      </c>
      <c r="M185" s="5" t="inlineStr">
        <is>
          <t>602</t>
        </is>
      </c>
      <c r="N185" s="5" t="inlineStr">
        <is>
          <t xml:space="preserve">  -</t>
        </is>
      </c>
      <c r="O185" s="5" t="inlineStr">
        <is>
          <t xml:space="preserve">  -</t>
        </is>
      </c>
      <c r="P185" s="5" t="inlineStr">
        <is>
          <t xml:space="preserve">  -</t>
        </is>
      </c>
      <c r="Q185" s="5" t="inlineStr">
        <is>
          <t>060</t>
        </is>
      </c>
      <c r="R185"/>
      <c r="S185" t="n">
        <v>12.0</v>
      </c>
      <c r="T185"/>
      <c r="U185" t="n">
        <v>12.0</v>
      </c>
      <c r="V185"/>
      <c r="W185" t="n">
        <v>0.0</v>
      </c>
      <c r="X185" t="n">
        <v>0.0</v>
      </c>
      <c r="Y185" t="n">
        <v>0.0</v>
      </c>
      <c r="Z185"/>
      <c r="AA185" t="n">
        <v>0.0</v>
      </c>
      <c r="AB185"/>
      <c r="AC185" t="n">
        <v>12.0</v>
      </c>
      <c r="AD185" s="5" t="inlineStr">
        <is>
          <t>pcs</t>
        </is>
      </c>
      <c r="AE185"/>
      <c r="AF185" s="5" t="inlineStr">
        <is>
          <t>pcs</t>
        </is>
      </c>
      <c r="AG185"/>
      <c r="AH185" t="inlineStr">
        <is>
          <t>No</t>
        </is>
      </c>
      <c r="AI185" s="2" t="n">
        <v>45841.408796296295</v>
      </c>
      <c r="AJ185" s="1" t="n">
        <f>DATE(2025,7,3)</f>
        <v>0.0</v>
      </c>
      <c r="AK185" t="inlineStr">
        <is>
          <t>Picking</t>
        </is>
      </c>
      <c r="AL185" s="2" t="n">
        <v>42419.55186342593</v>
      </c>
      <c r="AM185"/>
      <c r="AN185"/>
      <c r="AO185" t="n">
        <v>0.0</v>
      </c>
      <c r="AP185" t="n">
        <v>0.0</v>
      </c>
      <c r="AQ185"/>
      <c r="AR185" t="n">
        <v>3.2149459767382726</v>
      </c>
      <c r="AS185" t="n">
        <v>38.57935172085927</v>
      </c>
      <c r="AT185" s="5" t="inlineStr">
        <is>
          <t>AUD</t>
        </is>
      </c>
      <c r="AU185" t="inlineStr">
        <is>
          <t>Company Owned</t>
        </is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 t="n">
        <v>0.0</v>
      </c>
      <c r="BK185"/>
      <c r="BL185"/>
      <c r="BM185"/>
      <c r="BN185"/>
      <c r="BO185"/>
      <c r="BP185"/>
      <c r="BQ185"/>
      <c r="BR185"/>
      <c r="BS185"/>
      <c r="BT185"/>
      <c r="BU185" t="inlineStr">
        <is>
          <t>Yes</t>
        </is>
      </c>
      <c r="BV185"/>
      <c r="BW185"/>
      <c r="BX185"/>
    </row>
    <row r="186">
      <c r="A186" s="5" t="inlineStr">
        <is>
          <t>SERV</t>
        </is>
      </c>
      <c r="B186" s="5" t="inlineStr">
        <is>
          <t>025840</t>
        </is>
      </c>
      <c r="C186" s="5" t="inlineStr">
        <is>
          <t>Washer Expanded Neoprene Sponge 14 OD x 3.5 ID</t>
        </is>
      </c>
      <c r="D186" s="5" t="inlineStr">
        <is>
          <t>*</t>
        </is>
      </c>
      <c r="E186" s="5" t="inlineStr">
        <is>
          <t>602-006</t>
        </is>
      </c>
      <c r="F186" s="5" t="inlineStr">
        <is>
          <t>*</t>
        </is>
      </c>
      <c r="G186" s="5" t="inlineStr">
        <is>
          <t>*</t>
        </is>
      </c>
      <c r="H186"/>
      <c r="I186"/>
      <c r="J186" s="5" t="inlineStr">
        <is>
          <t>1</t>
        </is>
      </c>
      <c r="K186" s="5" t="inlineStr">
        <is>
          <t>*</t>
        </is>
      </c>
      <c r="L186" t="n">
        <v>0.0</v>
      </c>
      <c r="M186" s="5" t="inlineStr">
        <is>
          <t>602</t>
        </is>
      </c>
      <c r="N186" s="5" t="inlineStr">
        <is>
          <t xml:space="preserve">  -</t>
        </is>
      </c>
      <c r="O186" s="5" t="inlineStr">
        <is>
          <t xml:space="preserve">  -</t>
        </is>
      </c>
      <c r="P186" s="5" t="inlineStr">
        <is>
          <t xml:space="preserve">  -</t>
        </is>
      </c>
      <c r="Q186" s="5" t="inlineStr">
        <is>
          <t>006</t>
        </is>
      </c>
      <c r="R186"/>
      <c r="S186" t="n">
        <v>4.0</v>
      </c>
      <c r="T186"/>
      <c r="U186" t="n">
        <v>4.0</v>
      </c>
      <c r="V186"/>
      <c r="W186" t="n">
        <v>0.0</v>
      </c>
      <c r="X186" t="n">
        <v>0.0</v>
      </c>
      <c r="Y186" t="n">
        <v>0.0</v>
      </c>
      <c r="Z186"/>
      <c r="AA186" t="n">
        <v>0.0</v>
      </c>
      <c r="AB186"/>
      <c r="AC186" t="n">
        <v>4.0</v>
      </c>
      <c r="AD186" s="5" t="inlineStr">
        <is>
          <t>pcs</t>
        </is>
      </c>
      <c r="AE186"/>
      <c r="AF186" s="5" t="inlineStr">
        <is>
          <t>pcs</t>
        </is>
      </c>
      <c r="AG186"/>
      <c r="AH186" t="inlineStr">
        <is>
          <t>No</t>
        </is>
      </c>
      <c r="AI186" s="2" t="n">
        <v>45841.40872685185</v>
      </c>
      <c r="AJ186" s="1" t="n">
        <f>DATE(2025,7,3)</f>
        <v>0.0</v>
      </c>
      <c r="AK186" t="inlineStr">
        <is>
          <t>Picking</t>
        </is>
      </c>
      <c r="AL186" s="2" t="n">
        <v>41936.34123842593</v>
      </c>
      <c r="AM186"/>
      <c r="AN186"/>
      <c r="AO186" t="n">
        <v>0.0</v>
      </c>
      <c r="AP186" t="n">
        <v>0.0</v>
      </c>
      <c r="AQ186"/>
      <c r="AR186" t="n">
        <v>0.24226176205087005</v>
      </c>
      <c r="AS186" t="n">
        <v>0.9690470482034802</v>
      </c>
      <c r="AT186" s="5" t="inlineStr">
        <is>
          <t>AUD</t>
        </is>
      </c>
      <c r="AU186" t="inlineStr">
        <is>
          <t>Company Owned</t>
        </is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 t="n">
        <v>0.0</v>
      </c>
      <c r="BK186"/>
      <c r="BL186"/>
      <c r="BM186"/>
      <c r="BN186"/>
      <c r="BO186"/>
      <c r="BP186"/>
      <c r="BQ186"/>
      <c r="BR186"/>
      <c r="BS186"/>
      <c r="BT186"/>
      <c r="BU186" t="inlineStr">
        <is>
          <t>Yes</t>
        </is>
      </c>
      <c r="BV186"/>
      <c r="BW186"/>
      <c r="BX186"/>
    </row>
    <row r="187">
      <c r="A187" s="5" t="inlineStr">
        <is>
          <t>SERV</t>
        </is>
      </c>
      <c r="B187" s="5" t="inlineStr">
        <is>
          <t>140109</t>
        </is>
      </c>
      <c r="C187" s="5" t="inlineStr">
        <is>
          <t>Ball 4" PVC Cold Water (Black) for p/n 134849</t>
        </is>
      </c>
      <c r="D187" s="5" t="inlineStr">
        <is>
          <t>*</t>
        </is>
      </c>
      <c r="E187" s="5" t="inlineStr">
        <is>
          <t>602-011</t>
        </is>
      </c>
      <c r="F187" s="5" t="inlineStr">
        <is>
          <t>*</t>
        </is>
      </c>
      <c r="G187" s="5" t="inlineStr">
        <is>
          <t>*</t>
        </is>
      </c>
      <c r="H187"/>
      <c r="I187"/>
      <c r="J187" s="5" t="inlineStr">
        <is>
          <t>1</t>
        </is>
      </c>
      <c r="K187" s="5" t="inlineStr">
        <is>
          <t>*</t>
        </is>
      </c>
      <c r="L187" t="n">
        <v>0.0</v>
      </c>
      <c r="M187" s="5" t="inlineStr">
        <is>
          <t>602</t>
        </is>
      </c>
      <c r="N187" s="5" t="inlineStr">
        <is>
          <t xml:space="preserve">  -</t>
        </is>
      </c>
      <c r="O187" s="5" t="inlineStr">
        <is>
          <t xml:space="preserve">  -</t>
        </is>
      </c>
      <c r="P187" s="5" t="inlineStr">
        <is>
          <t xml:space="preserve">  -</t>
        </is>
      </c>
      <c r="Q187" s="5" t="inlineStr">
        <is>
          <t>011</t>
        </is>
      </c>
      <c r="R187"/>
      <c r="S187" t="n">
        <v>1.0</v>
      </c>
      <c r="T187"/>
      <c r="U187" t="n">
        <v>1.0</v>
      </c>
      <c r="V187"/>
      <c r="W187" t="n">
        <v>0.0</v>
      </c>
      <c r="X187" t="n">
        <v>0.0</v>
      </c>
      <c r="Y187" t="n">
        <v>0.0</v>
      </c>
      <c r="Z187"/>
      <c r="AA187" t="n">
        <v>0.0</v>
      </c>
      <c r="AB187"/>
      <c r="AC187" t="n">
        <v>1.0</v>
      </c>
      <c r="AD187" s="5" t="inlineStr">
        <is>
          <t>pcs</t>
        </is>
      </c>
      <c r="AE187"/>
      <c r="AF187" s="5" t="inlineStr">
        <is>
          <t>pcs</t>
        </is>
      </c>
      <c r="AG187"/>
      <c r="AH187" t="inlineStr">
        <is>
          <t>No</t>
        </is>
      </c>
      <c r="AI187" s="2" t="n">
        <v>45841.408738425926</v>
      </c>
      <c r="AJ187" s="1" t="n">
        <f>DATE(2025,7,3)</f>
        <v>0.0</v>
      </c>
      <c r="AK187" t="inlineStr">
        <is>
          <t>Picking</t>
        </is>
      </c>
      <c r="AL187" s="2" t="n">
        <v>41872.40666666667</v>
      </c>
      <c r="AM187"/>
      <c r="AN187"/>
      <c r="AO187" t="n">
        <v>0.0</v>
      </c>
      <c r="AP187" t="n">
        <v>0.0</v>
      </c>
      <c r="AQ187"/>
      <c r="AR187" t="n">
        <v>4.259907520290746</v>
      </c>
      <c r="AS187" t="n">
        <v>4.259907520290746</v>
      </c>
      <c r="AT187" s="5" t="inlineStr">
        <is>
          <t>AUD</t>
        </is>
      </c>
      <c r="AU187" t="inlineStr">
        <is>
          <t>Company Owned</t>
        </is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t="n">
        <v>0.0</v>
      </c>
      <c r="BK187"/>
      <c r="BL187"/>
      <c r="BM187"/>
      <c r="BN187"/>
      <c r="BO187"/>
      <c r="BP187"/>
      <c r="BQ187"/>
      <c r="BR187"/>
      <c r="BS187"/>
      <c r="BT187"/>
      <c r="BU187" t="inlineStr">
        <is>
          <t>Yes</t>
        </is>
      </c>
      <c r="BV187"/>
      <c r="BW187"/>
      <c r="BX187"/>
    </row>
    <row r="188">
      <c r="A188" s="5" t="inlineStr">
        <is>
          <t>SERV</t>
        </is>
      </c>
      <c r="B188" s="5" t="inlineStr">
        <is>
          <t>025912</t>
        </is>
      </c>
      <c r="C188" s="5" t="inlineStr">
        <is>
          <t>Kit Retrofit Brass Upgrade P/W</t>
        </is>
      </c>
      <c r="D188" s="5" t="inlineStr">
        <is>
          <t>*</t>
        </is>
      </c>
      <c r="E188" s="5" t="inlineStr">
        <is>
          <t>602-060</t>
        </is>
      </c>
      <c r="F188" s="5" t="inlineStr">
        <is>
          <t>*</t>
        </is>
      </c>
      <c r="G188" s="5" t="inlineStr">
        <is>
          <t>*</t>
        </is>
      </c>
      <c r="H188"/>
      <c r="I188"/>
      <c r="J188" s="5" t="inlineStr">
        <is>
          <t>1</t>
        </is>
      </c>
      <c r="K188" s="5" t="inlineStr">
        <is>
          <t>*</t>
        </is>
      </c>
      <c r="L188" t="n">
        <v>0.0</v>
      </c>
      <c r="M188" s="5" t="inlineStr">
        <is>
          <t>602</t>
        </is>
      </c>
      <c r="N188" s="5" t="inlineStr">
        <is>
          <t xml:space="preserve">  -</t>
        </is>
      </c>
      <c r="O188" s="5" t="inlineStr">
        <is>
          <t xml:space="preserve">  -</t>
        </is>
      </c>
      <c r="P188" s="5" t="inlineStr">
        <is>
          <t xml:space="preserve">  -</t>
        </is>
      </c>
      <c r="Q188" s="5" t="inlineStr">
        <is>
          <t>060</t>
        </is>
      </c>
      <c r="R188"/>
      <c r="S188" t="n">
        <v>1.0</v>
      </c>
      <c r="T188"/>
      <c r="U188" t="n">
        <v>1.0</v>
      </c>
      <c r="V188"/>
      <c r="W188" t="n">
        <v>0.0</v>
      </c>
      <c r="X188" t="n">
        <v>0.0</v>
      </c>
      <c r="Y188" t="n">
        <v>0.0</v>
      </c>
      <c r="Z188"/>
      <c r="AA188" t="n">
        <v>0.0</v>
      </c>
      <c r="AB188"/>
      <c r="AC188" t="n">
        <v>1.0</v>
      </c>
      <c r="AD188" s="5" t="inlineStr">
        <is>
          <t>kit</t>
        </is>
      </c>
      <c r="AE188"/>
      <c r="AF188" s="5" t="inlineStr">
        <is>
          <t>kit</t>
        </is>
      </c>
      <c r="AG188"/>
      <c r="AH188" t="inlineStr">
        <is>
          <t>No</t>
        </is>
      </c>
      <c r="AI188" s="2" t="n">
        <v>45841.408784722225</v>
      </c>
      <c r="AJ188" s="1" t="n">
        <f>DATE(2025,7,3)</f>
        <v>0.0</v>
      </c>
      <c r="AK188" t="inlineStr">
        <is>
          <t>Picking</t>
        </is>
      </c>
      <c r="AL188" s="2" t="n">
        <v>43348.534363425926</v>
      </c>
      <c r="AM188"/>
      <c r="AN188"/>
      <c r="AO188" t="n">
        <v>0.0</v>
      </c>
      <c r="AP188" t="n">
        <v>0.0</v>
      </c>
      <c r="AQ188"/>
      <c r="AR188" t="n">
        <v>139.68003160403381</v>
      </c>
      <c r="AS188" t="n">
        <v>139.68003160403381</v>
      </c>
      <c r="AT188" s="5" t="inlineStr">
        <is>
          <t>AUD</t>
        </is>
      </c>
      <c r="AU188" t="inlineStr">
        <is>
          <t>Company Owned</t>
        </is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t="n">
        <v>0.0</v>
      </c>
      <c r="BK188"/>
      <c r="BL188"/>
      <c r="BM188"/>
      <c r="BN188"/>
      <c r="BO188"/>
      <c r="BP188"/>
      <c r="BQ188"/>
      <c r="BR188"/>
      <c r="BS188"/>
      <c r="BT188"/>
      <c r="BU188" t="inlineStr">
        <is>
          <t>Yes</t>
        </is>
      </c>
      <c r="BV188"/>
      <c r="BW188"/>
      <c r="BX188"/>
    </row>
    <row r="189">
      <c r="A189" s="5" t="inlineStr">
        <is>
          <t>SERV</t>
        </is>
      </c>
      <c r="B189" s="5" t="inlineStr">
        <is>
          <t>140181</t>
        </is>
      </c>
      <c r="C189" s="5" t="inlineStr">
        <is>
          <t>Battery PLC CJ2 CJ1W-BAT01</t>
        </is>
      </c>
      <c r="D189" s="5" t="inlineStr">
        <is>
          <t>*</t>
        </is>
      </c>
      <c r="E189" s="5" t="inlineStr">
        <is>
          <t>602-060</t>
        </is>
      </c>
      <c r="F189" s="5" t="inlineStr">
        <is>
          <t>*</t>
        </is>
      </c>
      <c r="G189" s="5" t="inlineStr">
        <is>
          <t>*</t>
        </is>
      </c>
      <c r="H189"/>
      <c r="I189"/>
      <c r="J189" s="5" t="inlineStr">
        <is>
          <t>1</t>
        </is>
      </c>
      <c r="K189" s="5" t="inlineStr">
        <is>
          <t>*</t>
        </is>
      </c>
      <c r="L189" t="n">
        <v>0.0</v>
      </c>
      <c r="M189" s="5" t="inlineStr">
        <is>
          <t>602</t>
        </is>
      </c>
      <c r="N189" s="5" t="inlineStr">
        <is>
          <t xml:space="preserve">  -</t>
        </is>
      </c>
      <c r="O189" s="5" t="inlineStr">
        <is>
          <t xml:space="preserve">  -</t>
        </is>
      </c>
      <c r="P189" s="5" t="inlineStr">
        <is>
          <t xml:space="preserve">  -</t>
        </is>
      </c>
      <c r="Q189" s="5" t="inlineStr">
        <is>
          <t>060</t>
        </is>
      </c>
      <c r="R189"/>
      <c r="S189" t="n">
        <v>1.0</v>
      </c>
      <c r="T189"/>
      <c r="U189" t="n">
        <v>1.0</v>
      </c>
      <c r="V189"/>
      <c r="W189" t="n">
        <v>0.0</v>
      </c>
      <c r="X189" t="n">
        <v>0.0</v>
      </c>
      <c r="Y189" t="n">
        <v>0.0</v>
      </c>
      <c r="Z189"/>
      <c r="AA189" t="n">
        <v>0.0</v>
      </c>
      <c r="AB189"/>
      <c r="AC189" t="n">
        <v>1.0</v>
      </c>
      <c r="AD189" s="5" t="inlineStr">
        <is>
          <t>pcs</t>
        </is>
      </c>
      <c r="AE189"/>
      <c r="AF189" s="5" t="inlineStr">
        <is>
          <t>pcs</t>
        </is>
      </c>
      <c r="AG189"/>
      <c r="AH189" t="inlineStr">
        <is>
          <t>No</t>
        </is>
      </c>
      <c r="AI189" s="2" t="n">
        <v>45841.408796296295</v>
      </c>
      <c r="AJ189" s="1" t="n">
        <f>DATE(2025,7,3)</f>
        <v>0.0</v>
      </c>
      <c r="AK189" t="inlineStr">
        <is>
          <t>Picking</t>
        </is>
      </c>
      <c r="AL189" s="2" t="n">
        <v>44966.32454861111</v>
      </c>
      <c r="AM189"/>
      <c r="AN189"/>
      <c r="AO189" t="n">
        <v>0.0</v>
      </c>
      <c r="AP189" t="n">
        <v>0.0</v>
      </c>
      <c r="AQ189"/>
      <c r="AR189" t="n">
        <v>87.675</v>
      </c>
      <c r="AS189" t="n">
        <v>87.675</v>
      </c>
      <c r="AT189" s="5" t="inlineStr">
        <is>
          <t>AUD</t>
        </is>
      </c>
      <c r="AU189" t="inlineStr">
        <is>
          <t>Company Owned</t>
        </is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t="n">
        <v>0.0</v>
      </c>
      <c r="BK189"/>
      <c r="BL189"/>
      <c r="BM189"/>
      <c r="BN189"/>
      <c r="BO189"/>
      <c r="BP189"/>
      <c r="BQ189"/>
      <c r="BR189"/>
      <c r="BS189"/>
      <c r="BT189"/>
      <c r="BU189" t="inlineStr">
        <is>
          <t>Yes</t>
        </is>
      </c>
      <c r="BV189"/>
      <c r="BW189"/>
      <c r="BX189"/>
    </row>
    <row r="190">
      <c r="A190" s="5" t="inlineStr">
        <is>
          <t>SERV</t>
        </is>
      </c>
      <c r="B190" s="5" t="inlineStr">
        <is>
          <t>BHT11962.63</t>
        </is>
      </c>
      <c r="C190" s="5" t="inlineStr">
        <is>
          <t>Cap for Jet Arm Series 5,4,3</t>
        </is>
      </c>
      <c r="D190" s="5" t="inlineStr">
        <is>
          <t>*</t>
        </is>
      </c>
      <c r="E190" s="5" t="inlineStr">
        <is>
          <t>602-009</t>
        </is>
      </c>
      <c r="F190" s="5" t="inlineStr">
        <is>
          <t>*</t>
        </is>
      </c>
      <c r="G190" s="5" t="inlineStr">
        <is>
          <t>*</t>
        </is>
      </c>
      <c r="H190"/>
      <c r="I190"/>
      <c r="J190" s="5" t="inlineStr">
        <is>
          <t>1</t>
        </is>
      </c>
      <c r="K190" s="5" t="inlineStr">
        <is>
          <t>*</t>
        </is>
      </c>
      <c r="L190" t="n">
        <v>0.0</v>
      </c>
      <c r="M190" s="5" t="inlineStr">
        <is>
          <t>602</t>
        </is>
      </c>
      <c r="N190" s="5" t="inlineStr">
        <is>
          <t xml:space="preserve">  -</t>
        </is>
      </c>
      <c r="O190" s="5" t="inlineStr">
        <is>
          <t xml:space="preserve">  -</t>
        </is>
      </c>
      <c r="P190" s="5" t="inlineStr">
        <is>
          <t xml:space="preserve">  -</t>
        </is>
      </c>
      <c r="Q190" s="5" t="inlineStr">
        <is>
          <t>009</t>
        </is>
      </c>
      <c r="R190"/>
      <c r="S190" t="n">
        <v>2.0</v>
      </c>
      <c r="T190"/>
      <c r="U190" t="n">
        <v>2.0</v>
      </c>
      <c r="V190"/>
      <c r="W190" t="n">
        <v>0.0</v>
      </c>
      <c r="X190" t="n">
        <v>0.0</v>
      </c>
      <c r="Y190" t="n">
        <v>0.0</v>
      </c>
      <c r="Z190"/>
      <c r="AA190" t="n">
        <v>0.0</v>
      </c>
      <c r="AB190"/>
      <c r="AC190" t="n">
        <v>2.0</v>
      </c>
      <c r="AD190" s="5" t="inlineStr">
        <is>
          <t>pcs</t>
        </is>
      </c>
      <c r="AE190"/>
      <c r="AF190" s="5" t="inlineStr">
        <is>
          <t>pcs</t>
        </is>
      </c>
      <c r="AG190"/>
      <c r="AH190" t="inlineStr">
        <is>
          <t>No</t>
        </is>
      </c>
      <c r="AI190" s="2" t="n">
        <v>45841.40872685185</v>
      </c>
      <c r="AJ190" s="1" t="n">
        <f>DATE(2025,7,3)</f>
        <v>0.0</v>
      </c>
      <c r="AK190" t="inlineStr">
        <is>
          <t>Picking</t>
        </is>
      </c>
      <c r="AL190" s="2" t="n">
        <v>42832.44125</v>
      </c>
      <c r="AM190"/>
      <c r="AN190"/>
      <c r="AO190" t="n">
        <v>0.0</v>
      </c>
      <c r="AP190" t="n">
        <v>0.0</v>
      </c>
      <c r="AQ190"/>
      <c r="AR190" t="n">
        <v>21.65207081612106</v>
      </c>
      <c r="AS190" t="n">
        <v>43.30414163224212</v>
      </c>
      <c r="AT190" s="5" t="inlineStr">
        <is>
          <t>AUD</t>
        </is>
      </c>
      <c r="AU190" t="inlineStr">
        <is>
          <t>Company Owned</t>
        </is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 t="n">
        <v>0.0</v>
      </c>
      <c r="BK190"/>
      <c r="BL190"/>
      <c r="BM190"/>
      <c r="BN190"/>
      <c r="BO190"/>
      <c r="BP190"/>
      <c r="BQ190"/>
      <c r="BR190"/>
      <c r="BS190"/>
      <c r="BT190"/>
      <c r="BU190" t="inlineStr">
        <is>
          <t>Yes</t>
        </is>
      </c>
      <c r="BV190"/>
      <c r="BW190"/>
      <c r="BX190"/>
    </row>
    <row r="191">
      <c r="A191" s="5" t="inlineStr">
        <is>
          <t>SERV</t>
        </is>
      </c>
      <c r="B191" s="5" t="inlineStr">
        <is>
          <t>140258</t>
        </is>
      </c>
      <c r="C191" s="5" t="inlineStr">
        <is>
          <t>Plug S/S 1/2 Hylok</t>
        </is>
      </c>
      <c r="D191" s="5" t="inlineStr">
        <is>
          <t>*</t>
        </is>
      </c>
      <c r="E191" s="5" t="inlineStr">
        <is>
          <t>602-022</t>
        </is>
      </c>
      <c r="F191" s="5" t="inlineStr">
        <is>
          <t>*</t>
        </is>
      </c>
      <c r="G191" s="5" t="inlineStr">
        <is>
          <t>*</t>
        </is>
      </c>
      <c r="H191"/>
      <c r="I191"/>
      <c r="J191" s="5" t="inlineStr">
        <is>
          <t>1</t>
        </is>
      </c>
      <c r="K191" s="5" t="inlineStr">
        <is>
          <t>*</t>
        </is>
      </c>
      <c r="L191" t="n">
        <v>0.0</v>
      </c>
      <c r="M191" s="5" t="inlineStr">
        <is>
          <t>602</t>
        </is>
      </c>
      <c r="N191" s="5" t="inlineStr">
        <is>
          <t xml:space="preserve">  -</t>
        </is>
      </c>
      <c r="O191" s="5" t="inlineStr">
        <is>
          <t xml:space="preserve">  -</t>
        </is>
      </c>
      <c r="P191" s="5" t="inlineStr">
        <is>
          <t xml:space="preserve">  -</t>
        </is>
      </c>
      <c r="Q191" s="5" t="inlineStr">
        <is>
          <t>022</t>
        </is>
      </c>
      <c r="R191"/>
      <c r="S191" t="n">
        <v>4.0</v>
      </c>
      <c r="T191"/>
      <c r="U191" t="n">
        <v>4.0</v>
      </c>
      <c r="V191"/>
      <c r="W191" t="n">
        <v>0.0</v>
      </c>
      <c r="X191" t="n">
        <v>0.0</v>
      </c>
      <c r="Y191" t="n">
        <v>0.0</v>
      </c>
      <c r="Z191"/>
      <c r="AA191" t="n">
        <v>0.0</v>
      </c>
      <c r="AB191"/>
      <c r="AC191" t="n">
        <v>4.0</v>
      </c>
      <c r="AD191" s="5" t="inlineStr">
        <is>
          <t>pcs</t>
        </is>
      </c>
      <c r="AE191"/>
      <c r="AF191" s="5" t="inlineStr">
        <is>
          <t>pcs</t>
        </is>
      </c>
      <c r="AG191"/>
      <c r="AH191" t="inlineStr">
        <is>
          <t>No</t>
        </is>
      </c>
      <c r="AI191" s="2" t="n">
        <v>45841.40876157407</v>
      </c>
      <c r="AJ191" s="1" t="n">
        <f>DATE(2025,7,3)</f>
        <v>0.0</v>
      </c>
      <c r="AK191" t="inlineStr">
        <is>
          <t>Picking</t>
        </is>
      </c>
      <c r="AL191" s="2" t="n">
        <v>43696.56134259259</v>
      </c>
      <c r="AM191"/>
      <c r="AN191"/>
      <c r="AO191" t="n">
        <v>0.0</v>
      </c>
      <c r="AP191" t="n">
        <v>0.0</v>
      </c>
      <c r="AQ191"/>
      <c r="AR191" t="n">
        <v>10.35875402792696</v>
      </c>
      <c r="AS191" t="n">
        <v>41.43501611170784</v>
      </c>
      <c r="AT191" s="5" t="inlineStr">
        <is>
          <t>AUD</t>
        </is>
      </c>
      <c r="AU191" t="inlineStr">
        <is>
          <t>Company Owned</t>
        </is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 t="n">
        <v>0.0</v>
      </c>
      <c r="BK191"/>
      <c r="BL191"/>
      <c r="BM191"/>
      <c r="BN191"/>
      <c r="BO191"/>
      <c r="BP191"/>
      <c r="BQ191"/>
      <c r="BR191"/>
      <c r="BS191"/>
      <c r="BT191"/>
      <c r="BU191" t="inlineStr">
        <is>
          <t>Yes</t>
        </is>
      </c>
      <c r="BV191"/>
      <c r="BW191"/>
      <c r="BX191"/>
    </row>
    <row r="192">
      <c r="A192" s="5" t="inlineStr">
        <is>
          <t>SERV</t>
        </is>
      </c>
      <c r="B192" s="5" t="inlineStr">
        <is>
          <t>140260</t>
        </is>
      </c>
      <c r="C192" s="5" t="inlineStr">
        <is>
          <t>Plug S/S 3/4 Hylok</t>
        </is>
      </c>
      <c r="D192" s="5" t="inlineStr">
        <is>
          <t>*</t>
        </is>
      </c>
      <c r="E192" s="5" t="inlineStr">
        <is>
          <t>602-022</t>
        </is>
      </c>
      <c r="F192" s="5" t="inlineStr">
        <is>
          <t>*</t>
        </is>
      </c>
      <c r="G192" s="5" t="inlineStr">
        <is>
          <t>*</t>
        </is>
      </c>
      <c r="H192"/>
      <c r="I192"/>
      <c r="J192" s="5" t="inlineStr">
        <is>
          <t>1</t>
        </is>
      </c>
      <c r="K192" s="5" t="inlineStr">
        <is>
          <t>*</t>
        </is>
      </c>
      <c r="L192" t="n">
        <v>0.0</v>
      </c>
      <c r="M192" s="5" t="inlineStr">
        <is>
          <t>602</t>
        </is>
      </c>
      <c r="N192" s="5" t="inlineStr">
        <is>
          <t xml:space="preserve">  -</t>
        </is>
      </c>
      <c r="O192" s="5" t="inlineStr">
        <is>
          <t xml:space="preserve">  -</t>
        </is>
      </c>
      <c r="P192" s="5" t="inlineStr">
        <is>
          <t xml:space="preserve">  -</t>
        </is>
      </c>
      <c r="Q192" s="5" t="inlineStr">
        <is>
          <t>022</t>
        </is>
      </c>
      <c r="R192"/>
      <c r="S192" t="n">
        <v>5.0</v>
      </c>
      <c r="T192"/>
      <c r="U192" t="n">
        <v>5.0</v>
      </c>
      <c r="V192"/>
      <c r="W192" t="n">
        <v>0.0</v>
      </c>
      <c r="X192" t="n">
        <v>0.0</v>
      </c>
      <c r="Y192" t="n">
        <v>0.0</v>
      </c>
      <c r="Z192"/>
      <c r="AA192" t="n">
        <v>0.0</v>
      </c>
      <c r="AB192"/>
      <c r="AC192" t="n">
        <v>5.0</v>
      </c>
      <c r="AD192" s="5" t="inlineStr">
        <is>
          <t>pcs</t>
        </is>
      </c>
      <c r="AE192"/>
      <c r="AF192" s="5" t="inlineStr">
        <is>
          <t>pcs</t>
        </is>
      </c>
      <c r="AG192"/>
      <c r="AH192" t="inlineStr">
        <is>
          <t>No</t>
        </is>
      </c>
      <c r="AI192" s="2" t="n">
        <v>45841.40876157407</v>
      </c>
      <c r="AJ192" s="1" t="n">
        <f>DATE(2025,7,3)</f>
        <v>0.0</v>
      </c>
      <c r="AK192" t="inlineStr">
        <is>
          <t>Picking</t>
        </is>
      </c>
      <c r="AL192" s="2" t="n">
        <v>43340.44810185185</v>
      </c>
      <c r="AM192"/>
      <c r="AN192"/>
      <c r="AO192" t="n">
        <v>0.0</v>
      </c>
      <c r="AP192" t="n">
        <v>1.0</v>
      </c>
      <c r="AQ192"/>
      <c r="AR192" t="n">
        <v>15.151228878648233</v>
      </c>
      <c r="AS192" t="n">
        <v>75.75614439324117</v>
      </c>
      <c r="AT192" s="5" t="inlineStr">
        <is>
          <t>AUD</t>
        </is>
      </c>
      <c r="AU192" t="inlineStr">
        <is>
          <t>Company Owned</t>
        </is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 t="n">
        <v>0.0</v>
      </c>
      <c r="BK192"/>
      <c r="BL192"/>
      <c r="BM192"/>
      <c r="BN192"/>
      <c r="BO192"/>
      <c r="BP192"/>
      <c r="BQ192"/>
      <c r="BR192"/>
      <c r="BS192"/>
      <c r="BT192"/>
      <c r="BU192" t="inlineStr">
        <is>
          <t>Yes</t>
        </is>
      </c>
      <c r="BV192"/>
      <c r="BW192"/>
      <c r="BX192"/>
    </row>
    <row r="193">
      <c r="A193" s="5" t="inlineStr">
        <is>
          <t>SERV</t>
        </is>
      </c>
      <c r="B193" s="5" t="inlineStr">
        <is>
          <t>140261</t>
        </is>
      </c>
      <c r="C193" s="5" t="inlineStr">
        <is>
          <t>Plug S/S 1" Hylok</t>
        </is>
      </c>
      <c r="D193" s="5" t="inlineStr">
        <is>
          <t>*</t>
        </is>
      </c>
      <c r="E193" s="5" t="inlineStr">
        <is>
          <t>602-022</t>
        </is>
      </c>
      <c r="F193" s="5" t="inlineStr">
        <is>
          <t>*</t>
        </is>
      </c>
      <c r="G193" s="5" t="inlineStr">
        <is>
          <t>*</t>
        </is>
      </c>
      <c r="H193"/>
      <c r="I193"/>
      <c r="J193" s="5" t="inlineStr">
        <is>
          <t>1</t>
        </is>
      </c>
      <c r="K193" s="5" t="inlineStr">
        <is>
          <t>*</t>
        </is>
      </c>
      <c r="L193" t="n">
        <v>0.0</v>
      </c>
      <c r="M193" s="5" t="inlineStr">
        <is>
          <t>602</t>
        </is>
      </c>
      <c r="N193" s="5" t="inlineStr">
        <is>
          <t xml:space="preserve">  -</t>
        </is>
      </c>
      <c r="O193" s="5" t="inlineStr">
        <is>
          <t xml:space="preserve">  -</t>
        </is>
      </c>
      <c r="P193" s="5" t="inlineStr">
        <is>
          <t xml:space="preserve">  -</t>
        </is>
      </c>
      <c r="Q193" s="5" t="inlineStr">
        <is>
          <t>022</t>
        </is>
      </c>
      <c r="R193"/>
      <c r="S193" t="n">
        <v>2.0</v>
      </c>
      <c r="T193"/>
      <c r="U193" t="n">
        <v>2.0</v>
      </c>
      <c r="V193"/>
      <c r="W193" t="n">
        <v>0.0</v>
      </c>
      <c r="X193" t="n">
        <v>0.0</v>
      </c>
      <c r="Y193" t="n">
        <v>0.0</v>
      </c>
      <c r="Z193"/>
      <c r="AA193" t="n">
        <v>0.0</v>
      </c>
      <c r="AB193"/>
      <c r="AC193" t="n">
        <v>2.0</v>
      </c>
      <c r="AD193" s="5" t="inlineStr">
        <is>
          <t>pcs</t>
        </is>
      </c>
      <c r="AE193"/>
      <c r="AF193" s="5" t="inlineStr">
        <is>
          <t>pcs</t>
        </is>
      </c>
      <c r="AG193"/>
      <c r="AH193" t="inlineStr">
        <is>
          <t>No</t>
        </is>
      </c>
      <c r="AI193" s="2" t="n">
        <v>45841.40876157407</v>
      </c>
      <c r="AJ193" s="1" t="n">
        <f>DATE(2025,7,3)</f>
        <v>0.0</v>
      </c>
      <c r="AK193" t="inlineStr">
        <is>
          <t>Picking</t>
        </is>
      </c>
      <c r="AL193" s="2" t="n">
        <v>42886.36782407408</v>
      </c>
      <c r="AM193"/>
      <c r="AN193"/>
      <c r="AO193" t="n">
        <v>0.0</v>
      </c>
      <c r="AP193" t="n">
        <v>0.0</v>
      </c>
      <c r="AQ193"/>
      <c r="AR193" t="n">
        <v>31.258823529411764</v>
      </c>
      <c r="AS193" t="n">
        <v>62.51764705882353</v>
      </c>
      <c r="AT193" s="5" t="inlineStr">
        <is>
          <t>AUD</t>
        </is>
      </c>
      <c r="AU193" t="inlineStr">
        <is>
          <t>Company Owned</t>
        </is>
      </c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 t="n">
        <v>0.0</v>
      </c>
      <c r="BK193"/>
      <c r="BL193"/>
      <c r="BM193"/>
      <c r="BN193"/>
      <c r="BO193"/>
      <c r="BP193"/>
      <c r="BQ193"/>
      <c r="BR193"/>
      <c r="BS193"/>
      <c r="BT193"/>
      <c r="BU193" t="inlineStr">
        <is>
          <t>Yes</t>
        </is>
      </c>
      <c r="BV193"/>
      <c r="BW193"/>
      <c r="BX193"/>
    </row>
    <row r="194">
      <c r="A194" s="5" t="inlineStr">
        <is>
          <t>SERV</t>
        </is>
      </c>
      <c r="B194" s="5" t="inlineStr">
        <is>
          <t>BHT13801 10</t>
        </is>
      </c>
      <c r="C194" s="5" t="inlineStr">
        <is>
          <t>Teflon Bearing for Innova Spray Arm</t>
        </is>
      </c>
      <c r="D194" s="5" t="inlineStr">
        <is>
          <t>*</t>
        </is>
      </c>
      <c r="E194" s="5" t="inlineStr">
        <is>
          <t>602-009</t>
        </is>
      </c>
      <c r="F194" s="5" t="inlineStr">
        <is>
          <t>*</t>
        </is>
      </c>
      <c r="G194" s="5" t="inlineStr">
        <is>
          <t>*</t>
        </is>
      </c>
      <c r="H194"/>
      <c r="I194"/>
      <c r="J194" s="5" t="inlineStr">
        <is>
          <t>1</t>
        </is>
      </c>
      <c r="K194" s="5" t="inlineStr">
        <is>
          <t>*</t>
        </is>
      </c>
      <c r="L194" t="n">
        <v>0.0</v>
      </c>
      <c r="M194" s="5" t="inlineStr">
        <is>
          <t>602</t>
        </is>
      </c>
      <c r="N194" s="5" t="inlineStr">
        <is>
          <t xml:space="preserve">  -</t>
        </is>
      </c>
      <c r="O194" s="5" t="inlineStr">
        <is>
          <t xml:space="preserve">  -</t>
        </is>
      </c>
      <c r="P194" s="5" t="inlineStr">
        <is>
          <t xml:space="preserve">  -</t>
        </is>
      </c>
      <c r="Q194" s="5" t="inlineStr">
        <is>
          <t>009</t>
        </is>
      </c>
      <c r="R194"/>
      <c r="S194" t="n">
        <v>11.0</v>
      </c>
      <c r="T194"/>
      <c r="U194" t="n">
        <v>11.0</v>
      </c>
      <c r="V194"/>
      <c r="W194" t="n">
        <v>0.0</v>
      </c>
      <c r="X194" t="n">
        <v>0.0</v>
      </c>
      <c r="Y194" t="n">
        <v>0.0</v>
      </c>
      <c r="Z194"/>
      <c r="AA194" t="n">
        <v>0.0</v>
      </c>
      <c r="AB194"/>
      <c r="AC194" t="n">
        <v>11.0</v>
      </c>
      <c r="AD194" s="5" t="inlineStr">
        <is>
          <t>ea</t>
        </is>
      </c>
      <c r="AE194"/>
      <c r="AF194" s="5" t="inlineStr">
        <is>
          <t>ea</t>
        </is>
      </c>
      <c r="AG194"/>
      <c r="AH194" t="inlineStr">
        <is>
          <t>No</t>
        </is>
      </c>
      <c r="AI194" s="2" t="n">
        <v>46041.69503472222</v>
      </c>
      <c r="AJ194" s="1" t="n">
        <f>DATE(2025,7,3)</f>
        <v>0.0</v>
      </c>
      <c r="AK194" t="inlineStr">
        <is>
          <t>Picking</t>
        </is>
      </c>
      <c r="AL194" s="2" t="n">
        <v>43986.59945601852</v>
      </c>
      <c r="AM194"/>
      <c r="AN194"/>
      <c r="AO194" t="n">
        <v>0.0</v>
      </c>
      <c r="AP194" t="n">
        <v>7.0</v>
      </c>
      <c r="AQ194"/>
      <c r="AR194" t="n">
        <v>8.135124406020553</v>
      </c>
      <c r="AS194" t="n">
        <v>89.4863684662261</v>
      </c>
      <c r="AT194" s="5" t="inlineStr">
        <is>
          <t>AUD</t>
        </is>
      </c>
      <c r="AU194" t="inlineStr">
        <is>
          <t>Company Owned</t>
        </is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 t="n">
        <v>0.0</v>
      </c>
      <c r="BK194"/>
      <c r="BL194"/>
      <c r="BM194"/>
      <c r="BN194"/>
      <c r="BO194"/>
      <c r="BP194"/>
      <c r="BQ194"/>
      <c r="BR194"/>
      <c r="BS194"/>
      <c r="BT194"/>
      <c r="BU194" t="inlineStr">
        <is>
          <t>Yes</t>
        </is>
      </c>
      <c r="BV194"/>
      <c r="BW194"/>
      <c r="BX194"/>
    </row>
    <row r="195">
      <c r="A195" s="5" t="inlineStr">
        <is>
          <t>SERV</t>
        </is>
      </c>
      <c r="B195" s="5" t="inlineStr">
        <is>
          <t>140264</t>
        </is>
      </c>
      <c r="C195" s="5" t="inlineStr">
        <is>
          <t>Union S/S 3/4 SL X 3/4 SL</t>
        </is>
      </c>
      <c r="D195" s="5" t="inlineStr">
        <is>
          <t>*</t>
        </is>
      </c>
      <c r="E195" s="5" t="inlineStr">
        <is>
          <t>602-022</t>
        </is>
      </c>
      <c r="F195" s="5" t="inlineStr">
        <is>
          <t>*</t>
        </is>
      </c>
      <c r="G195" s="5" t="inlineStr">
        <is>
          <t>*</t>
        </is>
      </c>
      <c r="H195"/>
      <c r="I195"/>
      <c r="J195" s="5" t="inlineStr">
        <is>
          <t>1</t>
        </is>
      </c>
      <c r="K195" s="5" t="inlineStr">
        <is>
          <t>*</t>
        </is>
      </c>
      <c r="L195" t="n">
        <v>0.0</v>
      </c>
      <c r="M195" s="5" t="inlineStr">
        <is>
          <t>602</t>
        </is>
      </c>
      <c r="N195" s="5" t="inlineStr">
        <is>
          <t xml:space="preserve">  -</t>
        </is>
      </c>
      <c r="O195" s="5" t="inlineStr">
        <is>
          <t xml:space="preserve">  -</t>
        </is>
      </c>
      <c r="P195" s="5" t="inlineStr">
        <is>
          <t xml:space="preserve">  -</t>
        </is>
      </c>
      <c r="Q195" s="5" t="inlineStr">
        <is>
          <t>022</t>
        </is>
      </c>
      <c r="R195"/>
      <c r="S195" t="n">
        <v>1.0</v>
      </c>
      <c r="T195"/>
      <c r="U195" t="n">
        <v>1.0</v>
      </c>
      <c r="V195"/>
      <c r="W195" t="n">
        <v>0.0</v>
      </c>
      <c r="X195" t="n">
        <v>0.0</v>
      </c>
      <c r="Y195" t="n">
        <v>0.0</v>
      </c>
      <c r="Z195"/>
      <c r="AA195" t="n">
        <v>0.0</v>
      </c>
      <c r="AB195"/>
      <c r="AC195" t="n">
        <v>1.0</v>
      </c>
      <c r="AD195" s="5" t="inlineStr">
        <is>
          <t>pcs</t>
        </is>
      </c>
      <c r="AE195"/>
      <c r="AF195" s="5" t="inlineStr">
        <is>
          <t>pcs</t>
        </is>
      </c>
      <c r="AG195"/>
      <c r="AH195" t="inlineStr">
        <is>
          <t>No</t>
        </is>
      </c>
      <c r="AI195" s="2" t="n">
        <v>45841.40876157407</v>
      </c>
      <c r="AJ195" s="1" t="n">
        <f>DATE(2025,7,3)</f>
        <v>0.0</v>
      </c>
      <c r="AK195" t="inlineStr">
        <is>
          <t>Picking</t>
        </is>
      </c>
      <c r="AL195" s="2" t="n">
        <v>43153.49737268518</v>
      </c>
      <c r="AM195"/>
      <c r="AN195"/>
      <c r="AO195" t="n">
        <v>0.0</v>
      </c>
      <c r="AP195" t="n">
        <v>0.0</v>
      </c>
      <c r="AQ195"/>
      <c r="AR195" t="n">
        <v>37.0</v>
      </c>
      <c r="AS195" t="n">
        <v>37.0</v>
      </c>
      <c r="AT195" s="5" t="inlineStr">
        <is>
          <t>AUD</t>
        </is>
      </c>
      <c r="AU195" t="inlineStr">
        <is>
          <t>Company Owned</t>
        </is>
      </c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t="n">
        <v>0.0</v>
      </c>
      <c r="BK195"/>
      <c r="BL195"/>
      <c r="BM195"/>
      <c r="BN195"/>
      <c r="BO195"/>
      <c r="BP195"/>
      <c r="BQ195"/>
      <c r="BR195"/>
      <c r="BS195"/>
      <c r="BT195"/>
      <c r="BU195" t="inlineStr">
        <is>
          <t>Yes</t>
        </is>
      </c>
      <c r="BV195"/>
      <c r="BW195"/>
      <c r="BX195"/>
    </row>
    <row r="196">
      <c r="A196" s="5" t="inlineStr">
        <is>
          <t>SERV</t>
        </is>
      </c>
      <c r="B196" s="5" t="inlineStr">
        <is>
          <t>140318</t>
        </is>
      </c>
      <c r="C196" s="5" t="inlineStr">
        <is>
          <t>Washer Silicone Check Valve 3/4</t>
        </is>
      </c>
      <c r="D196" s="5" t="inlineStr">
        <is>
          <t>*</t>
        </is>
      </c>
      <c r="E196" s="5" t="inlineStr">
        <is>
          <t>602-005</t>
        </is>
      </c>
      <c r="F196" s="5" t="inlineStr">
        <is>
          <t>*</t>
        </is>
      </c>
      <c r="G196" s="5" t="inlineStr">
        <is>
          <t>*</t>
        </is>
      </c>
      <c r="H196"/>
      <c r="I196"/>
      <c r="J196" s="5" t="inlineStr">
        <is>
          <t>1</t>
        </is>
      </c>
      <c r="K196" s="5" t="inlineStr">
        <is>
          <t>*</t>
        </is>
      </c>
      <c r="L196" t="n">
        <v>0.0</v>
      </c>
      <c r="M196" s="5" t="inlineStr">
        <is>
          <t>602</t>
        </is>
      </c>
      <c r="N196" s="5" t="inlineStr">
        <is>
          <t xml:space="preserve">  -</t>
        </is>
      </c>
      <c r="O196" s="5" t="inlineStr">
        <is>
          <t xml:space="preserve">  -</t>
        </is>
      </c>
      <c r="P196" s="5" t="inlineStr">
        <is>
          <t xml:space="preserve">  -</t>
        </is>
      </c>
      <c r="Q196" s="5" t="inlineStr">
        <is>
          <t>005</t>
        </is>
      </c>
      <c r="R196"/>
      <c r="S196" t="n">
        <v>13.0</v>
      </c>
      <c r="T196"/>
      <c r="U196" t="n">
        <v>13.0</v>
      </c>
      <c r="V196"/>
      <c r="W196" t="n">
        <v>0.0</v>
      </c>
      <c r="X196" t="n">
        <v>0.0</v>
      </c>
      <c r="Y196" t="n">
        <v>0.0</v>
      </c>
      <c r="Z196"/>
      <c r="AA196" t="n">
        <v>0.0</v>
      </c>
      <c r="AB196"/>
      <c r="AC196" t="n">
        <v>13.0</v>
      </c>
      <c r="AD196" s="5" t="inlineStr">
        <is>
          <t>pcs</t>
        </is>
      </c>
      <c r="AE196"/>
      <c r="AF196" s="5" t="inlineStr">
        <is>
          <t>pcs</t>
        </is>
      </c>
      <c r="AG196"/>
      <c r="AH196" t="inlineStr">
        <is>
          <t>No</t>
        </is>
      </c>
      <c r="AI196" s="2" t="n">
        <v>46071.62165509259</v>
      </c>
      <c r="AJ196" s="1" t="n">
        <f>DATE(2025,7,3)</f>
        <v>0.0</v>
      </c>
      <c r="AK196" t="inlineStr">
        <is>
          <t>Picking</t>
        </is>
      </c>
      <c r="AL196" s="2" t="n">
        <v>42859.592997685184</v>
      </c>
      <c r="AM196"/>
      <c r="AN196"/>
      <c r="AO196" t="n">
        <v>0.0</v>
      </c>
      <c r="AP196" t="n">
        <v>10.0</v>
      </c>
      <c r="AQ196"/>
      <c r="AR196" t="n">
        <v>0.9050204918032787</v>
      </c>
      <c r="AS196" t="n">
        <v>11.765266393442623</v>
      </c>
      <c r="AT196" s="5" t="inlineStr">
        <is>
          <t>AUD</t>
        </is>
      </c>
      <c r="AU196" t="inlineStr">
        <is>
          <t>Company Owned</t>
        </is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 t="n">
        <v>0.0</v>
      </c>
      <c r="BK196"/>
      <c r="BL196"/>
      <c r="BM196"/>
      <c r="BN196"/>
      <c r="BO196"/>
      <c r="BP196"/>
      <c r="BQ196"/>
      <c r="BR196"/>
      <c r="BS196"/>
      <c r="BT196"/>
      <c r="BU196" t="inlineStr">
        <is>
          <t>Yes</t>
        </is>
      </c>
      <c r="BV196"/>
      <c r="BW196"/>
      <c r="BX196"/>
    </row>
    <row r="197">
      <c r="A197" s="5" t="inlineStr">
        <is>
          <t>SERV</t>
        </is>
      </c>
      <c r="B197" s="5" t="inlineStr">
        <is>
          <t>140292</t>
        </is>
      </c>
      <c r="C197" s="5" t="inlineStr">
        <is>
          <t>Plug S/S 1" BSP Hex Head</t>
        </is>
      </c>
      <c r="D197" s="5" t="inlineStr">
        <is>
          <t>*</t>
        </is>
      </c>
      <c r="E197" s="5" t="inlineStr">
        <is>
          <t>602-022</t>
        </is>
      </c>
      <c r="F197" s="5" t="inlineStr">
        <is>
          <t>*</t>
        </is>
      </c>
      <c r="G197" s="5" t="inlineStr">
        <is>
          <t>*</t>
        </is>
      </c>
      <c r="H197"/>
      <c r="I197"/>
      <c r="J197" s="5" t="inlineStr">
        <is>
          <t>1</t>
        </is>
      </c>
      <c r="K197" s="5" t="inlineStr">
        <is>
          <t>*</t>
        </is>
      </c>
      <c r="L197" t="n">
        <v>0.0</v>
      </c>
      <c r="M197" s="5" t="inlineStr">
        <is>
          <t>602</t>
        </is>
      </c>
      <c r="N197" s="5" t="inlineStr">
        <is>
          <t xml:space="preserve">  -</t>
        </is>
      </c>
      <c r="O197" s="5" t="inlineStr">
        <is>
          <t xml:space="preserve">  -</t>
        </is>
      </c>
      <c r="P197" s="5" t="inlineStr">
        <is>
          <t xml:space="preserve">  -</t>
        </is>
      </c>
      <c r="Q197" s="5" t="inlineStr">
        <is>
          <t>022</t>
        </is>
      </c>
      <c r="R197"/>
      <c r="S197" t="n">
        <v>2.0</v>
      </c>
      <c r="T197"/>
      <c r="U197" t="n">
        <v>2.0</v>
      </c>
      <c r="V197"/>
      <c r="W197" t="n">
        <v>0.0</v>
      </c>
      <c r="X197" t="n">
        <v>0.0</v>
      </c>
      <c r="Y197" t="n">
        <v>0.0</v>
      </c>
      <c r="Z197"/>
      <c r="AA197" t="n">
        <v>0.0</v>
      </c>
      <c r="AB197"/>
      <c r="AC197" t="n">
        <v>2.0</v>
      </c>
      <c r="AD197" s="5" t="inlineStr">
        <is>
          <t>pcs</t>
        </is>
      </c>
      <c r="AE197"/>
      <c r="AF197" s="5" t="inlineStr">
        <is>
          <t>pcs</t>
        </is>
      </c>
      <c r="AG197"/>
      <c r="AH197" t="inlineStr">
        <is>
          <t>No</t>
        </is>
      </c>
      <c r="AI197" s="2" t="n">
        <v>45841.40876157407</v>
      </c>
      <c r="AJ197" s="1" t="n">
        <f>DATE(2025,7,3)</f>
        <v>0.0</v>
      </c>
      <c r="AK197" t="inlineStr">
        <is>
          <t>Picking</t>
        </is>
      </c>
      <c r="AL197" s="2" t="n">
        <v>43252.32603009259</v>
      </c>
      <c r="AM197"/>
      <c r="AN197"/>
      <c r="AO197" t="n">
        <v>0.0</v>
      </c>
      <c r="AP197" t="n">
        <v>0.0</v>
      </c>
      <c r="AQ197"/>
      <c r="AR197" t="n">
        <v>18.142857142857142</v>
      </c>
      <c r="AS197" t="n">
        <v>36.285714285714285</v>
      </c>
      <c r="AT197" s="5" t="inlineStr">
        <is>
          <t>AUD</t>
        </is>
      </c>
      <c r="AU197" t="inlineStr">
        <is>
          <t>Company Owned</t>
        </is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t="n">
        <v>0.0</v>
      </c>
      <c r="BK197"/>
      <c r="BL197"/>
      <c r="BM197"/>
      <c r="BN197"/>
      <c r="BO197"/>
      <c r="BP197"/>
      <c r="BQ197"/>
      <c r="BR197"/>
      <c r="BS197"/>
      <c r="BT197"/>
      <c r="BU197" t="inlineStr">
        <is>
          <t>Yes</t>
        </is>
      </c>
      <c r="BV197"/>
      <c r="BW197"/>
      <c r="BX197"/>
    </row>
    <row r="198">
      <c r="A198" s="5" t="inlineStr">
        <is>
          <t>SERV</t>
        </is>
      </c>
      <c r="B198" s="5" t="inlineStr">
        <is>
          <t>140319</t>
        </is>
      </c>
      <c r="C198" s="5" t="inlineStr">
        <is>
          <t>Valve Check Steam 3/4" S/S</t>
        </is>
      </c>
      <c r="D198" s="5" t="inlineStr">
        <is>
          <t>*</t>
        </is>
      </c>
      <c r="E198" s="5" t="inlineStr">
        <is>
          <t>602-005</t>
        </is>
      </c>
      <c r="F198" s="5" t="inlineStr">
        <is>
          <t>*</t>
        </is>
      </c>
      <c r="G198" s="5" t="inlineStr">
        <is>
          <t>*</t>
        </is>
      </c>
      <c r="H198"/>
      <c r="I198"/>
      <c r="J198" s="5" t="inlineStr">
        <is>
          <t>1</t>
        </is>
      </c>
      <c r="K198" s="5" t="inlineStr">
        <is>
          <t>*</t>
        </is>
      </c>
      <c r="L198" t="n">
        <v>0.0</v>
      </c>
      <c r="M198" s="5" t="inlineStr">
        <is>
          <t>602</t>
        </is>
      </c>
      <c r="N198" s="5" t="inlineStr">
        <is>
          <t xml:space="preserve">  -</t>
        </is>
      </c>
      <c r="O198" s="5" t="inlineStr">
        <is>
          <t xml:space="preserve">  -</t>
        </is>
      </c>
      <c r="P198" s="5" t="inlineStr">
        <is>
          <t xml:space="preserve">  -</t>
        </is>
      </c>
      <c r="Q198" s="5" t="inlineStr">
        <is>
          <t>005</t>
        </is>
      </c>
      <c r="R198"/>
      <c r="S198" t="n">
        <v>4.0</v>
      </c>
      <c r="T198"/>
      <c r="U198" t="n">
        <v>4.0</v>
      </c>
      <c r="V198"/>
      <c r="W198" t="n">
        <v>0.0</v>
      </c>
      <c r="X198" t="n">
        <v>0.0</v>
      </c>
      <c r="Y198" t="n">
        <v>0.0</v>
      </c>
      <c r="Z198"/>
      <c r="AA198" t="n">
        <v>0.0</v>
      </c>
      <c r="AB198"/>
      <c r="AC198" t="n">
        <v>4.0</v>
      </c>
      <c r="AD198" s="5" t="inlineStr">
        <is>
          <t>pcs</t>
        </is>
      </c>
      <c r="AE198"/>
      <c r="AF198" s="5" t="inlineStr">
        <is>
          <t>pcs</t>
        </is>
      </c>
      <c r="AG198"/>
      <c r="AH198" t="inlineStr">
        <is>
          <t>No</t>
        </is>
      </c>
      <c r="AI198" s="2" t="n">
        <v>45841.40872685185</v>
      </c>
      <c r="AJ198" s="1" t="n">
        <f>DATE(2025,7,3)</f>
        <v>0.0</v>
      </c>
      <c r="AK198" t="inlineStr">
        <is>
          <t>Picking</t>
        </is>
      </c>
      <c r="AL198" s="2" t="n">
        <v>42859.363229166665</v>
      </c>
      <c r="AM198"/>
      <c r="AN198"/>
      <c r="AO198" t="n">
        <v>0.0</v>
      </c>
      <c r="AP198" t="n">
        <v>0.0</v>
      </c>
      <c r="AQ198"/>
      <c r="AR198" t="n">
        <v>41.23590220859186</v>
      </c>
      <c r="AS198" t="n">
        <v>164.94360883436744</v>
      </c>
      <c r="AT198" s="5" t="inlineStr">
        <is>
          <t>AUD</t>
        </is>
      </c>
      <c r="AU198" t="inlineStr">
        <is>
          <t>Company Owned</t>
        </is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 t="n">
        <v>0.0</v>
      </c>
      <c r="BK198"/>
      <c r="BL198"/>
      <c r="BM198"/>
      <c r="BN198"/>
      <c r="BO198"/>
      <c r="BP198"/>
      <c r="BQ198"/>
      <c r="BR198"/>
      <c r="BS198"/>
      <c r="BT198"/>
      <c r="BU198" t="inlineStr">
        <is>
          <t>Yes</t>
        </is>
      </c>
      <c r="BV198"/>
      <c r="BW198"/>
      <c r="BX198"/>
    </row>
    <row r="199">
      <c r="A199" s="5" t="inlineStr">
        <is>
          <t>SERV</t>
        </is>
      </c>
      <c r="B199" s="5" t="inlineStr">
        <is>
          <t>BHT22107 07</t>
        </is>
      </c>
      <c r="C199" s="5" t="inlineStr">
        <is>
          <t>Valve 230V Outlet Complete</t>
        </is>
      </c>
      <c r="D199" s="5" t="inlineStr">
        <is>
          <t>*</t>
        </is>
      </c>
      <c r="E199" s="5" t="inlineStr">
        <is>
          <t>602-060</t>
        </is>
      </c>
      <c r="F199" s="5" t="inlineStr">
        <is>
          <t>*</t>
        </is>
      </c>
      <c r="G199" s="5" t="inlineStr">
        <is>
          <t>*</t>
        </is>
      </c>
      <c r="H199"/>
      <c r="I199"/>
      <c r="J199" s="5" t="inlineStr">
        <is>
          <t>1</t>
        </is>
      </c>
      <c r="K199" s="5" t="inlineStr">
        <is>
          <t>*</t>
        </is>
      </c>
      <c r="L199" t="n">
        <v>0.0</v>
      </c>
      <c r="M199" s="5" t="inlineStr">
        <is>
          <t>602</t>
        </is>
      </c>
      <c r="N199" s="5" t="inlineStr">
        <is>
          <t xml:space="preserve">  -</t>
        </is>
      </c>
      <c r="O199" s="5" t="inlineStr">
        <is>
          <t xml:space="preserve">  -</t>
        </is>
      </c>
      <c r="P199" s="5" t="inlineStr">
        <is>
          <t xml:space="preserve">  -</t>
        </is>
      </c>
      <c r="Q199" s="5" t="inlineStr">
        <is>
          <t>060</t>
        </is>
      </c>
      <c r="R199"/>
      <c r="S199" t="n">
        <v>2.0</v>
      </c>
      <c r="T199"/>
      <c r="U199" t="n">
        <v>2.0</v>
      </c>
      <c r="V199"/>
      <c r="W199" t="n">
        <v>0.0</v>
      </c>
      <c r="X199" t="n">
        <v>0.0</v>
      </c>
      <c r="Y199" t="n">
        <v>0.0</v>
      </c>
      <c r="Z199"/>
      <c r="AA199" t="n">
        <v>0.0</v>
      </c>
      <c r="AB199"/>
      <c r="AC199" t="n">
        <v>2.0</v>
      </c>
      <c r="AD199" s="5" t="inlineStr">
        <is>
          <t>pcs</t>
        </is>
      </c>
      <c r="AE199"/>
      <c r="AF199" s="5" t="inlineStr">
        <is>
          <t>pcs</t>
        </is>
      </c>
      <c r="AG199"/>
      <c r="AH199" t="inlineStr">
        <is>
          <t>No</t>
        </is>
      </c>
      <c r="AI199" s="2" t="n">
        <v>46042.52972222222</v>
      </c>
      <c r="AJ199"/>
      <c r="AK199" t="inlineStr">
        <is>
          <t>Picking</t>
        </is>
      </c>
      <c r="AL199" s="2" t="n">
        <v>44334.681342592594</v>
      </c>
      <c r="AM199"/>
      <c r="AN199"/>
      <c r="AO199" t="n">
        <v>0.0</v>
      </c>
      <c r="AP199" t="n">
        <v>0.0</v>
      </c>
      <c r="AQ199"/>
      <c r="AR199" t="n">
        <v>601.6188835192216</v>
      </c>
      <c r="AS199" t="n">
        <v>1203.2377670384433</v>
      </c>
      <c r="AT199" s="5" t="inlineStr">
        <is>
          <t>AUD</t>
        </is>
      </c>
      <c r="AU199" t="inlineStr">
        <is>
          <t>Company Owned</t>
        </is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 t="n">
        <v>0.0</v>
      </c>
      <c r="BK199"/>
      <c r="BL199"/>
      <c r="BM199"/>
      <c r="BN199"/>
      <c r="BO199"/>
      <c r="BP199"/>
      <c r="BQ199"/>
      <c r="BR199"/>
      <c r="BS199"/>
      <c r="BT199"/>
      <c r="BU199" t="inlineStr">
        <is>
          <t>Yes</t>
        </is>
      </c>
      <c r="BV199"/>
      <c r="BW199"/>
      <c r="BX199"/>
    </row>
    <row r="200">
      <c r="A200" s="5" t="inlineStr">
        <is>
          <t>SERV</t>
        </is>
      </c>
      <c r="B200" s="5" t="inlineStr">
        <is>
          <t>140397</t>
        </is>
      </c>
      <c r="C200" s="5" t="inlineStr">
        <is>
          <t>Pump Vacuum CVS100 Gen 5 Tiger &amp; Gorilla</t>
        </is>
      </c>
      <c r="D200" s="5" t="inlineStr">
        <is>
          <t>*</t>
        </is>
      </c>
      <c r="E200" s="5" t="inlineStr">
        <is>
          <t>602-060</t>
        </is>
      </c>
      <c r="F200" s="5" t="inlineStr">
        <is>
          <t>*</t>
        </is>
      </c>
      <c r="G200" s="5" t="inlineStr">
        <is>
          <t>*</t>
        </is>
      </c>
      <c r="H200"/>
      <c r="I200"/>
      <c r="J200" s="5" t="inlineStr">
        <is>
          <t>1</t>
        </is>
      </c>
      <c r="K200" s="5" t="inlineStr">
        <is>
          <t>*</t>
        </is>
      </c>
      <c r="L200" t="n">
        <v>0.0</v>
      </c>
      <c r="M200" s="5" t="inlineStr">
        <is>
          <t>602</t>
        </is>
      </c>
      <c r="N200" s="5" t="inlineStr">
        <is>
          <t xml:space="preserve">  -</t>
        </is>
      </c>
      <c r="O200" s="5" t="inlineStr">
        <is>
          <t xml:space="preserve">  -</t>
        </is>
      </c>
      <c r="P200" s="5" t="inlineStr">
        <is>
          <t xml:space="preserve">  -</t>
        </is>
      </c>
      <c r="Q200" s="5" t="inlineStr">
        <is>
          <t>060</t>
        </is>
      </c>
      <c r="R200"/>
      <c r="S200" t="n">
        <v>0.0</v>
      </c>
      <c r="T200"/>
      <c r="U200" t="n">
        <v>0.0</v>
      </c>
      <c r="V200"/>
      <c r="W200" t="n">
        <v>0.0</v>
      </c>
      <c r="X200" t="n">
        <v>0.0</v>
      </c>
      <c r="Y200" t="n">
        <v>0.0</v>
      </c>
      <c r="Z200"/>
      <c r="AA200" t="n">
        <v>0.0</v>
      </c>
      <c r="AB200"/>
      <c r="AC200" t="n">
        <v>0.0</v>
      </c>
      <c r="AD200" s="5" t="inlineStr">
        <is>
          <t>pcs</t>
        </is>
      </c>
      <c r="AE200"/>
      <c r="AF200" s="5" t="inlineStr">
        <is>
          <t>pcs</t>
        </is>
      </c>
      <c r="AG200"/>
      <c r="AH200" t="inlineStr">
        <is>
          <t>No</t>
        </is>
      </c>
      <c r="AI200" s="2" t="n">
        <v>46015.547847222224</v>
      </c>
      <c r="AJ200"/>
      <c r="AK200" t="inlineStr">
        <is>
          <t>Picking</t>
        </is>
      </c>
      <c r="AL200" s="2" t="n">
        <v>45994.394270833334</v>
      </c>
      <c r="AM200"/>
      <c r="AN200"/>
      <c r="AO200" t="n">
        <v>0.0</v>
      </c>
      <c r="AP200" t="n">
        <v>0.0</v>
      </c>
      <c r="AQ200"/>
      <c r="AR200" t="n">
        <v>0.0</v>
      </c>
      <c r="AS200" t="n">
        <v>0.0</v>
      </c>
      <c r="AT200" s="5" t="inlineStr">
        <is>
          <t>AUD</t>
        </is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 t="n">
        <v>0.0</v>
      </c>
      <c r="BK200"/>
      <c r="BL200"/>
      <c r="BM200"/>
      <c r="BN200"/>
      <c r="BO200"/>
      <c r="BP200"/>
      <c r="BQ200"/>
      <c r="BR200"/>
      <c r="BS200"/>
      <c r="BT200"/>
      <c r="BU200" t="inlineStr">
        <is>
          <t>Yes</t>
        </is>
      </c>
      <c r="BV200"/>
      <c r="BW200"/>
      <c r="BX200"/>
    </row>
    <row r="201">
      <c r="A201" s="5" t="inlineStr">
        <is>
          <t>SERV</t>
        </is>
      </c>
      <c r="B201" s="5" t="inlineStr">
        <is>
          <t>140476</t>
        </is>
      </c>
      <c r="C201" s="5" t="inlineStr">
        <is>
          <t>Seal Viton 2.5" Tri-Clover</t>
        </is>
      </c>
      <c r="D201" s="5" t="inlineStr">
        <is>
          <t>*</t>
        </is>
      </c>
      <c r="E201" s="5" t="inlineStr">
        <is>
          <t>602-060</t>
        </is>
      </c>
      <c r="F201" s="5" t="inlineStr">
        <is>
          <t>*</t>
        </is>
      </c>
      <c r="G201" s="5" t="inlineStr">
        <is>
          <t>*</t>
        </is>
      </c>
      <c r="H201"/>
      <c r="I201"/>
      <c r="J201" s="5" t="inlineStr">
        <is>
          <t>1</t>
        </is>
      </c>
      <c r="K201" s="5" t="inlineStr">
        <is>
          <t>*</t>
        </is>
      </c>
      <c r="L201" t="n">
        <v>0.0</v>
      </c>
      <c r="M201" s="5" t="inlineStr">
        <is>
          <t>602</t>
        </is>
      </c>
      <c r="N201" s="5" t="inlineStr">
        <is>
          <t xml:space="preserve">  -</t>
        </is>
      </c>
      <c r="O201" s="5" t="inlineStr">
        <is>
          <t xml:space="preserve">  -</t>
        </is>
      </c>
      <c r="P201" s="5" t="inlineStr">
        <is>
          <t xml:space="preserve">  -</t>
        </is>
      </c>
      <c r="Q201" s="5" t="inlineStr">
        <is>
          <t>060</t>
        </is>
      </c>
      <c r="R201"/>
      <c r="S201" t="n">
        <v>2.0</v>
      </c>
      <c r="T201"/>
      <c r="U201" t="n">
        <v>2.0</v>
      </c>
      <c r="V201"/>
      <c r="W201" t="n">
        <v>0.0</v>
      </c>
      <c r="X201" t="n">
        <v>0.0</v>
      </c>
      <c r="Y201" t="n">
        <v>0.0</v>
      </c>
      <c r="Z201"/>
      <c r="AA201" t="n">
        <v>0.0</v>
      </c>
      <c r="AB201"/>
      <c r="AC201" t="n">
        <v>2.0</v>
      </c>
      <c r="AD201" s="5" t="inlineStr">
        <is>
          <t>pcs</t>
        </is>
      </c>
      <c r="AE201"/>
      <c r="AF201" s="5" t="inlineStr">
        <is>
          <t>pcs</t>
        </is>
      </c>
      <c r="AG201"/>
      <c r="AH201" t="inlineStr">
        <is>
          <t>No</t>
        </is>
      </c>
      <c r="AI201" s="2" t="n">
        <v>45841.408796296295</v>
      </c>
      <c r="AJ201" s="1" t="n">
        <f>DATE(2025,7,3)</f>
        <v>0.0</v>
      </c>
      <c r="AK201" t="inlineStr">
        <is>
          <t>Picking</t>
        </is>
      </c>
      <c r="AL201" s="2" t="n">
        <v>43801.40199074074</v>
      </c>
      <c r="AM201"/>
      <c r="AN201"/>
      <c r="AO201" t="n">
        <v>0.0</v>
      </c>
      <c r="AP201" t="n">
        <v>0.0</v>
      </c>
      <c r="AQ201"/>
      <c r="AR201" t="n">
        <v>10.998872726647994</v>
      </c>
      <c r="AS201" t="n">
        <v>21.997745453295988</v>
      </c>
      <c r="AT201" s="5" t="inlineStr">
        <is>
          <t>AUD</t>
        </is>
      </c>
      <c r="AU201" t="inlineStr">
        <is>
          <t>Company Owned</t>
        </is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 t="n">
        <v>0.0</v>
      </c>
      <c r="BK201"/>
      <c r="BL201"/>
      <c r="BM201"/>
      <c r="BN201"/>
      <c r="BO201"/>
      <c r="BP201"/>
      <c r="BQ201"/>
      <c r="BR201"/>
      <c r="BS201"/>
      <c r="BT201"/>
      <c r="BU201" t="inlineStr">
        <is>
          <t>Yes</t>
        </is>
      </c>
      <c r="BV201"/>
      <c r="BW201"/>
      <c r="BX201"/>
    </row>
    <row r="202">
      <c r="A202" s="5" t="inlineStr">
        <is>
          <t>SERV</t>
        </is>
      </c>
      <c r="B202" s="5" t="inlineStr">
        <is>
          <t>831018</t>
        </is>
      </c>
      <c r="C202" s="5" t="inlineStr">
        <is>
          <t>Ferrule S/S 6mm Hylok</t>
        </is>
      </c>
      <c r="D202" s="5" t="inlineStr">
        <is>
          <t>*</t>
        </is>
      </c>
      <c r="E202" s="5" t="inlineStr">
        <is>
          <t>602-004</t>
        </is>
      </c>
      <c r="F202" s="5" t="inlineStr">
        <is>
          <t>*</t>
        </is>
      </c>
      <c r="G202" s="5" t="inlineStr">
        <is>
          <t>*</t>
        </is>
      </c>
      <c r="H202"/>
      <c r="I202"/>
      <c r="J202" s="5" t="inlineStr">
        <is>
          <t>1</t>
        </is>
      </c>
      <c r="K202" s="5" t="inlineStr">
        <is>
          <t>*</t>
        </is>
      </c>
      <c r="L202" t="n">
        <v>0.0</v>
      </c>
      <c r="M202" s="5" t="inlineStr">
        <is>
          <t>602</t>
        </is>
      </c>
      <c r="N202" s="5" t="inlineStr">
        <is>
          <t xml:space="preserve">  -</t>
        </is>
      </c>
      <c r="O202" s="5" t="inlineStr">
        <is>
          <t xml:space="preserve">  -</t>
        </is>
      </c>
      <c r="P202" s="5" t="inlineStr">
        <is>
          <t xml:space="preserve">  -</t>
        </is>
      </c>
      <c r="Q202" s="5" t="inlineStr">
        <is>
          <t>004</t>
        </is>
      </c>
      <c r="R202"/>
      <c r="S202" t="n">
        <v>6.0</v>
      </c>
      <c r="T202"/>
      <c r="U202" t="n">
        <v>6.0</v>
      </c>
      <c r="V202"/>
      <c r="W202" t="n">
        <v>0.0</v>
      </c>
      <c r="X202" t="n">
        <v>0.0</v>
      </c>
      <c r="Y202" t="n">
        <v>0.0</v>
      </c>
      <c r="Z202"/>
      <c r="AA202" t="n">
        <v>0.0</v>
      </c>
      <c r="AB202"/>
      <c r="AC202" t="n">
        <v>6.0</v>
      </c>
      <c r="AD202" s="5" t="inlineStr">
        <is>
          <t>pcs</t>
        </is>
      </c>
      <c r="AE202"/>
      <c r="AF202" s="5" t="inlineStr">
        <is>
          <t>pcs</t>
        </is>
      </c>
      <c r="AG202"/>
      <c r="AH202" t="inlineStr">
        <is>
          <t>No</t>
        </is>
      </c>
      <c r="AI202" s="2" t="n">
        <v>45848.45054398148</v>
      </c>
      <c r="AJ202" s="1" t="n">
        <f>DATE(2025,7,3)</f>
        <v>0.0</v>
      </c>
      <c r="AK202" t="inlineStr">
        <is>
          <t>Picking</t>
        </is>
      </c>
      <c r="AL202" s="2" t="n">
        <v>43124.370729166665</v>
      </c>
      <c r="AM202"/>
      <c r="AN202"/>
      <c r="AO202" t="n">
        <v>0.0</v>
      </c>
      <c r="AP202" t="n">
        <v>-5.0</v>
      </c>
      <c r="AQ202"/>
      <c r="AR202" t="n">
        <v>1.9630554469437302</v>
      </c>
      <c r="AS202" t="n">
        <v>11.77833268166238</v>
      </c>
      <c r="AT202" s="5" t="inlineStr">
        <is>
          <t>AUD</t>
        </is>
      </c>
      <c r="AU202" t="inlineStr">
        <is>
          <t>Company Owned</t>
        </is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 t="n">
        <v>0.0</v>
      </c>
      <c r="BK202"/>
      <c r="BL202"/>
      <c r="BM202"/>
      <c r="BN202"/>
      <c r="BO202"/>
      <c r="BP202"/>
      <c r="BQ202"/>
      <c r="BR202"/>
      <c r="BS202"/>
      <c r="BT202"/>
      <c r="BU202" t="inlineStr">
        <is>
          <t>Yes</t>
        </is>
      </c>
      <c r="BV202"/>
      <c r="BW202"/>
      <c r="BX202"/>
    </row>
    <row r="203">
      <c r="A203" s="5" t="inlineStr">
        <is>
          <t>SERV</t>
        </is>
      </c>
      <c r="B203" s="5" t="inlineStr">
        <is>
          <t>140335</t>
        </is>
      </c>
      <c r="C203" s="5" t="inlineStr">
        <is>
          <t>Union S/S 1/2 M X 6mm Bore Thru</t>
        </is>
      </c>
      <c r="D203" s="5" t="inlineStr">
        <is>
          <t>*</t>
        </is>
      </c>
      <c r="E203" s="5" t="inlineStr">
        <is>
          <t>602-004</t>
        </is>
      </c>
      <c r="F203" s="5" t="inlineStr">
        <is>
          <t>*</t>
        </is>
      </c>
      <c r="G203" s="5" t="inlineStr">
        <is>
          <t>*</t>
        </is>
      </c>
      <c r="H203"/>
      <c r="I203"/>
      <c r="J203" s="5" t="inlineStr">
        <is>
          <t>1</t>
        </is>
      </c>
      <c r="K203" s="5" t="inlineStr">
        <is>
          <t>*</t>
        </is>
      </c>
      <c r="L203" t="n">
        <v>0.0</v>
      </c>
      <c r="M203" s="5" t="inlineStr">
        <is>
          <t>602</t>
        </is>
      </c>
      <c r="N203" s="5" t="inlineStr">
        <is>
          <t xml:space="preserve">  -</t>
        </is>
      </c>
      <c r="O203" s="5" t="inlineStr">
        <is>
          <t xml:space="preserve">  -</t>
        </is>
      </c>
      <c r="P203" s="5" t="inlineStr">
        <is>
          <t xml:space="preserve">  -</t>
        </is>
      </c>
      <c r="Q203" s="5" t="inlineStr">
        <is>
          <t>004</t>
        </is>
      </c>
      <c r="R203"/>
      <c r="S203" t="n">
        <v>1.0</v>
      </c>
      <c r="T203"/>
      <c r="U203" t="n">
        <v>1.0</v>
      </c>
      <c r="V203"/>
      <c r="W203" t="n">
        <v>0.0</v>
      </c>
      <c r="X203" t="n">
        <v>0.0</v>
      </c>
      <c r="Y203" t="n">
        <v>0.0</v>
      </c>
      <c r="Z203"/>
      <c r="AA203" t="n">
        <v>0.0</v>
      </c>
      <c r="AB203"/>
      <c r="AC203" t="n">
        <v>1.0</v>
      </c>
      <c r="AD203" s="5" t="inlineStr">
        <is>
          <t>pcs</t>
        </is>
      </c>
      <c r="AE203"/>
      <c r="AF203" s="5" t="inlineStr">
        <is>
          <t>pcs</t>
        </is>
      </c>
      <c r="AG203"/>
      <c r="AH203" t="inlineStr">
        <is>
          <t>No</t>
        </is>
      </c>
      <c r="AI203" s="2" t="n">
        <v>45841.40871527778</v>
      </c>
      <c r="AJ203" s="1" t="n">
        <f>DATE(2025,7,3)</f>
        <v>0.0</v>
      </c>
      <c r="AK203" t="inlineStr">
        <is>
          <t>Picking</t>
        </is>
      </c>
      <c r="AL203" s="2" t="n">
        <v>43327.27953703704</v>
      </c>
      <c r="AM203"/>
      <c r="AN203"/>
      <c r="AO203" t="n">
        <v>0.0</v>
      </c>
      <c r="AP203" t="n">
        <v>0.0</v>
      </c>
      <c r="AQ203"/>
      <c r="AR203" t="n">
        <v>18.5</v>
      </c>
      <c r="AS203" t="n">
        <v>18.5</v>
      </c>
      <c r="AT203" s="5" t="inlineStr">
        <is>
          <t>AUD</t>
        </is>
      </c>
      <c r="AU203" t="inlineStr">
        <is>
          <t>Company Owned</t>
        </is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 t="n">
        <v>0.0</v>
      </c>
      <c r="BK203"/>
      <c r="BL203"/>
      <c r="BM203"/>
      <c r="BN203"/>
      <c r="BO203"/>
      <c r="BP203"/>
      <c r="BQ203"/>
      <c r="BR203"/>
      <c r="BS203"/>
      <c r="BT203"/>
      <c r="BU203" t="inlineStr">
        <is>
          <t>Yes</t>
        </is>
      </c>
      <c r="BV203"/>
      <c r="BW203"/>
      <c r="BX203"/>
    </row>
    <row r="204">
      <c r="A204" s="5" t="inlineStr">
        <is>
          <t>SERV</t>
        </is>
      </c>
      <c r="B204" s="5" t="inlineStr">
        <is>
          <t>026271</t>
        </is>
      </c>
      <c r="C204" s="5" t="inlineStr">
        <is>
          <t>Gasket Steam Generator Gen 5</t>
        </is>
      </c>
      <c r="D204" s="5" t="inlineStr">
        <is>
          <t>*</t>
        </is>
      </c>
      <c r="E204" s="5" t="inlineStr">
        <is>
          <t>602-060</t>
        </is>
      </c>
      <c r="F204" s="5" t="inlineStr">
        <is>
          <t>*</t>
        </is>
      </c>
      <c r="G204" s="5" t="inlineStr">
        <is>
          <t>*</t>
        </is>
      </c>
      <c r="H204"/>
      <c r="I204"/>
      <c r="J204" s="5" t="inlineStr">
        <is>
          <t>1</t>
        </is>
      </c>
      <c r="K204" s="5" t="inlineStr">
        <is>
          <t>*</t>
        </is>
      </c>
      <c r="L204" t="n">
        <v>0.0</v>
      </c>
      <c r="M204" s="5" t="inlineStr">
        <is>
          <t>602</t>
        </is>
      </c>
      <c r="N204" s="5" t="inlineStr">
        <is>
          <t xml:space="preserve">  -</t>
        </is>
      </c>
      <c r="O204" s="5" t="inlineStr">
        <is>
          <t xml:space="preserve">  -</t>
        </is>
      </c>
      <c r="P204" s="5" t="inlineStr">
        <is>
          <t xml:space="preserve">  -</t>
        </is>
      </c>
      <c r="Q204" s="5" t="inlineStr">
        <is>
          <t>060</t>
        </is>
      </c>
      <c r="R204"/>
      <c r="S204" t="n">
        <v>3.0</v>
      </c>
      <c r="T204"/>
      <c r="U204" t="n">
        <v>3.0</v>
      </c>
      <c r="V204"/>
      <c r="W204" t="n">
        <v>0.0</v>
      </c>
      <c r="X204" t="n">
        <v>0.0</v>
      </c>
      <c r="Y204" t="n">
        <v>0.0</v>
      </c>
      <c r="Z204"/>
      <c r="AA204" t="n">
        <v>0.0</v>
      </c>
      <c r="AB204"/>
      <c r="AC204" t="n">
        <v>3.0</v>
      </c>
      <c r="AD204" s="5" t="inlineStr">
        <is>
          <t>pcs</t>
        </is>
      </c>
      <c r="AE204"/>
      <c r="AF204" s="5" t="inlineStr">
        <is>
          <t>pcs</t>
        </is>
      </c>
      <c r="AG204"/>
      <c r="AH204" t="inlineStr">
        <is>
          <t>No</t>
        </is>
      </c>
      <c r="AI204" s="2" t="n">
        <v>45841.408784722225</v>
      </c>
      <c r="AJ204" s="1" t="n">
        <f>DATE(2025,7,3)</f>
        <v>0.0</v>
      </c>
      <c r="AK204" t="inlineStr">
        <is>
          <t>Picking</t>
        </is>
      </c>
      <c r="AL204" s="2" t="n">
        <v>44083.704988425925</v>
      </c>
      <c r="AM204"/>
      <c r="AN204"/>
      <c r="AO204" t="n">
        <v>0.0</v>
      </c>
      <c r="AP204" t="n">
        <v>0.0</v>
      </c>
      <c r="AQ204"/>
      <c r="AR204" t="n">
        <v>65.1362778079871</v>
      </c>
      <c r="AS204" t="n">
        <v>195.40883342396128</v>
      </c>
      <c r="AT204" s="5" t="inlineStr">
        <is>
          <t>AUD</t>
        </is>
      </c>
      <c r="AU204" t="inlineStr">
        <is>
          <t>Company Owned</t>
        </is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 t="n">
        <v>0.0</v>
      </c>
      <c r="BK204"/>
      <c r="BL204"/>
      <c r="BM204"/>
      <c r="BN204"/>
      <c r="BO204"/>
      <c r="BP204"/>
      <c r="BQ204"/>
      <c r="BR204"/>
      <c r="BS204"/>
      <c r="BT204"/>
      <c r="BU204" t="inlineStr">
        <is>
          <t>Yes</t>
        </is>
      </c>
      <c r="BV204"/>
      <c r="BW204"/>
      <c r="BX204"/>
    </row>
    <row r="205">
      <c r="A205" s="5" t="inlineStr">
        <is>
          <t>SERV</t>
        </is>
      </c>
      <c r="B205" s="5" t="inlineStr">
        <is>
          <t>140489</t>
        </is>
      </c>
      <c r="C205" s="5" t="inlineStr">
        <is>
          <t>Sensor Flow Water Gen 5</t>
        </is>
      </c>
      <c r="D205" s="5" t="inlineStr">
        <is>
          <t>*</t>
        </is>
      </c>
      <c r="E205" s="5" t="inlineStr">
        <is>
          <t>602-060</t>
        </is>
      </c>
      <c r="F205" s="5" t="inlineStr">
        <is>
          <t>*</t>
        </is>
      </c>
      <c r="G205" s="5" t="inlineStr">
        <is>
          <t>*</t>
        </is>
      </c>
      <c r="H205"/>
      <c r="I205"/>
      <c r="J205" s="5" t="inlineStr">
        <is>
          <t>1</t>
        </is>
      </c>
      <c r="K205" s="5" t="inlineStr">
        <is>
          <t>*</t>
        </is>
      </c>
      <c r="L205" t="n">
        <v>0.0</v>
      </c>
      <c r="M205" s="5" t="inlineStr">
        <is>
          <t>602</t>
        </is>
      </c>
      <c r="N205" s="5" t="inlineStr">
        <is>
          <t xml:space="preserve">  -</t>
        </is>
      </c>
      <c r="O205" s="5" t="inlineStr">
        <is>
          <t xml:space="preserve">  -</t>
        </is>
      </c>
      <c r="P205" s="5" t="inlineStr">
        <is>
          <t xml:space="preserve">  -</t>
        </is>
      </c>
      <c r="Q205" s="5" t="inlineStr">
        <is>
          <t>060</t>
        </is>
      </c>
      <c r="R205"/>
      <c r="S205" t="n">
        <v>1.0</v>
      </c>
      <c r="T205"/>
      <c r="U205" t="n">
        <v>1.0</v>
      </c>
      <c r="V205"/>
      <c r="W205" t="n">
        <v>0.0</v>
      </c>
      <c r="X205" t="n">
        <v>0.0</v>
      </c>
      <c r="Y205" t="n">
        <v>0.0</v>
      </c>
      <c r="Z205"/>
      <c r="AA205" t="n">
        <v>0.0</v>
      </c>
      <c r="AB205"/>
      <c r="AC205" t="n">
        <v>1.0</v>
      </c>
      <c r="AD205" s="5" t="inlineStr">
        <is>
          <t>pcs</t>
        </is>
      </c>
      <c r="AE205"/>
      <c r="AF205" s="5" t="inlineStr">
        <is>
          <t>pcs</t>
        </is>
      </c>
      <c r="AG205"/>
      <c r="AH205" t="inlineStr">
        <is>
          <t>No</t>
        </is>
      </c>
      <c r="AI205" s="2" t="n">
        <v>45841.408796296295</v>
      </c>
      <c r="AJ205" s="1" t="n">
        <f>DATE(2025,7,3)</f>
        <v>0.0</v>
      </c>
      <c r="AK205" t="inlineStr">
        <is>
          <t>Picking</t>
        </is>
      </c>
      <c r="AL205" s="2" t="n">
        <v>44512.449537037035</v>
      </c>
      <c r="AM205"/>
      <c r="AN205"/>
      <c r="AO205" t="n">
        <v>0.0</v>
      </c>
      <c r="AP205" t="n">
        <v>0.0</v>
      </c>
      <c r="AQ205"/>
      <c r="AR205" t="n">
        <v>340.6868</v>
      </c>
      <c r="AS205" t="n">
        <v>340.6868</v>
      </c>
      <c r="AT205" s="5" t="inlineStr">
        <is>
          <t>AUD</t>
        </is>
      </c>
      <c r="AU205" t="inlineStr">
        <is>
          <t>Company Owned</t>
        </is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 t="n">
        <v>0.0</v>
      </c>
      <c r="BK205"/>
      <c r="BL205"/>
      <c r="BM205"/>
      <c r="BN205"/>
      <c r="BO205"/>
      <c r="BP205"/>
      <c r="BQ205"/>
      <c r="BR205"/>
      <c r="BS205"/>
      <c r="BT205"/>
      <c r="BU205" t="inlineStr">
        <is>
          <t>Yes</t>
        </is>
      </c>
      <c r="BV205"/>
      <c r="BW205"/>
      <c r="BX205"/>
    </row>
    <row r="206">
      <c r="A206" s="5" t="inlineStr">
        <is>
          <t>SERV</t>
        </is>
      </c>
      <c r="B206" s="5" t="inlineStr">
        <is>
          <t>140516</t>
        </is>
      </c>
      <c r="C206" s="5" t="inlineStr">
        <is>
          <t>Seal Viton 1.5" Tri-Clover</t>
        </is>
      </c>
      <c r="D206" s="5" t="inlineStr">
        <is>
          <t>*</t>
        </is>
      </c>
      <c r="E206" s="5" t="inlineStr">
        <is>
          <t>602-060</t>
        </is>
      </c>
      <c r="F206" s="5" t="inlineStr">
        <is>
          <t>*</t>
        </is>
      </c>
      <c r="G206" s="5" t="inlineStr">
        <is>
          <t>*</t>
        </is>
      </c>
      <c r="H206"/>
      <c r="I206"/>
      <c r="J206" s="5" t="inlineStr">
        <is>
          <t>1</t>
        </is>
      </c>
      <c r="K206" s="5" t="inlineStr">
        <is>
          <t>*</t>
        </is>
      </c>
      <c r="L206" t="n">
        <v>0.0</v>
      </c>
      <c r="M206" s="5" t="inlineStr">
        <is>
          <t>602</t>
        </is>
      </c>
      <c r="N206" s="5" t="inlineStr">
        <is>
          <t xml:space="preserve">  -</t>
        </is>
      </c>
      <c r="O206" s="5" t="inlineStr">
        <is>
          <t xml:space="preserve">  -</t>
        </is>
      </c>
      <c r="P206" s="5" t="inlineStr">
        <is>
          <t xml:space="preserve">  -</t>
        </is>
      </c>
      <c r="Q206" s="5" t="inlineStr">
        <is>
          <t>060</t>
        </is>
      </c>
      <c r="R206"/>
      <c r="S206" t="n">
        <v>4.0</v>
      </c>
      <c r="T206"/>
      <c r="U206" t="n">
        <v>4.0</v>
      </c>
      <c r="V206"/>
      <c r="W206" t="n">
        <v>0.0</v>
      </c>
      <c r="X206" t="n">
        <v>0.0</v>
      </c>
      <c r="Y206" t="n">
        <v>0.0</v>
      </c>
      <c r="Z206"/>
      <c r="AA206" t="n">
        <v>0.0</v>
      </c>
      <c r="AB206"/>
      <c r="AC206" t="n">
        <v>4.0</v>
      </c>
      <c r="AD206" s="5" t="inlineStr">
        <is>
          <t>pcs</t>
        </is>
      </c>
      <c r="AE206"/>
      <c r="AF206" s="5" t="inlineStr">
        <is>
          <t>pcs</t>
        </is>
      </c>
      <c r="AG206"/>
      <c r="AH206" t="inlineStr">
        <is>
          <t>No</t>
        </is>
      </c>
      <c r="AI206" s="2" t="n">
        <v>45848.45013888889</v>
      </c>
      <c r="AJ206" s="1" t="n">
        <f>DATE(2025,7,3)</f>
        <v>0.0</v>
      </c>
      <c r="AK206" t="inlineStr">
        <is>
          <t>Picking</t>
        </is>
      </c>
      <c r="AL206" s="2" t="n">
        <v>43594.5790625</v>
      </c>
      <c r="AM206"/>
      <c r="AN206"/>
      <c r="AO206" t="n">
        <v>0.0</v>
      </c>
      <c r="AP206" t="n">
        <v>-3.0</v>
      </c>
      <c r="AQ206"/>
      <c r="AR206" t="n">
        <v>8.999999963400528</v>
      </c>
      <c r="AS206" t="n">
        <v>35.99999985360211</v>
      </c>
      <c r="AT206" s="5" t="inlineStr">
        <is>
          <t>AUD</t>
        </is>
      </c>
      <c r="AU206" t="inlineStr">
        <is>
          <t>Company Owned</t>
        </is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 t="n">
        <v>0.0</v>
      </c>
      <c r="BK206"/>
      <c r="BL206"/>
      <c r="BM206"/>
      <c r="BN206"/>
      <c r="BO206"/>
      <c r="BP206"/>
      <c r="BQ206"/>
      <c r="BR206"/>
      <c r="BS206"/>
      <c r="BT206"/>
      <c r="BU206" t="inlineStr">
        <is>
          <t>Yes</t>
        </is>
      </c>
      <c r="BV206"/>
      <c r="BW206"/>
      <c r="BX206"/>
    </row>
    <row r="207">
      <c r="A207" s="5" t="inlineStr">
        <is>
          <t>SERV</t>
        </is>
      </c>
      <c r="B207" s="5" t="inlineStr">
        <is>
          <t>140334</t>
        </is>
      </c>
      <c r="C207" s="5" t="inlineStr">
        <is>
          <t>Gasket A/Door Round 600 Series-93</t>
        </is>
      </c>
      <c r="D207" s="5" t="inlineStr">
        <is>
          <t>*</t>
        </is>
      </c>
      <c r="E207" s="5" t="inlineStr">
        <is>
          <t>602-060</t>
        </is>
      </c>
      <c r="F207" s="5" t="inlineStr">
        <is>
          <t>*</t>
        </is>
      </c>
      <c r="G207" s="5" t="inlineStr">
        <is>
          <t>*</t>
        </is>
      </c>
      <c r="H207"/>
      <c r="I207"/>
      <c r="J207" s="5" t="inlineStr">
        <is>
          <t>1</t>
        </is>
      </c>
      <c r="K207" s="5" t="inlineStr">
        <is>
          <t>*</t>
        </is>
      </c>
      <c r="L207" t="n">
        <v>0.0</v>
      </c>
      <c r="M207" s="5" t="inlineStr">
        <is>
          <t>602</t>
        </is>
      </c>
      <c r="N207" s="5" t="inlineStr">
        <is>
          <t xml:space="preserve">  -</t>
        </is>
      </c>
      <c r="O207" s="5" t="inlineStr">
        <is>
          <t xml:space="preserve">  -</t>
        </is>
      </c>
      <c r="P207" s="5" t="inlineStr">
        <is>
          <t xml:space="preserve">  -</t>
        </is>
      </c>
      <c r="Q207" s="5" t="inlineStr">
        <is>
          <t>060</t>
        </is>
      </c>
      <c r="R207"/>
      <c r="S207" t="n">
        <v>2.0</v>
      </c>
      <c r="T207"/>
      <c r="U207" t="n">
        <v>2.0</v>
      </c>
      <c r="V207"/>
      <c r="W207" t="n">
        <v>0.0</v>
      </c>
      <c r="X207" t="n">
        <v>0.0</v>
      </c>
      <c r="Y207" t="n">
        <v>0.0</v>
      </c>
      <c r="Z207"/>
      <c r="AA207" t="n">
        <v>0.0</v>
      </c>
      <c r="AB207"/>
      <c r="AC207" t="n">
        <v>2.0</v>
      </c>
      <c r="AD207" s="5" t="inlineStr">
        <is>
          <t>pcs</t>
        </is>
      </c>
      <c r="AE207"/>
      <c r="AF207" s="5" t="inlineStr">
        <is>
          <t>pcs</t>
        </is>
      </c>
      <c r="AG207"/>
      <c r="AH207" t="inlineStr">
        <is>
          <t>No</t>
        </is>
      </c>
      <c r="AI207" s="2" t="n">
        <v>45841.408796296295</v>
      </c>
      <c r="AJ207" s="1" t="n">
        <f>DATE(2025,7,3)</f>
        <v>0.0</v>
      </c>
      <c r="AK207" t="inlineStr">
        <is>
          <t>Picking</t>
        </is>
      </c>
      <c r="AL207" s="2" t="n">
        <v>43069.489432870374</v>
      </c>
      <c r="AM207"/>
      <c r="AN207"/>
      <c r="AO207" t="n">
        <v>0.0</v>
      </c>
      <c r="AP207" t="n">
        <v>0.0</v>
      </c>
      <c r="AQ207"/>
      <c r="AR207" t="n">
        <v>206.2006709631221</v>
      </c>
      <c r="AS207" t="n">
        <v>412.4013419262442</v>
      </c>
      <c r="AT207" s="5" t="inlineStr">
        <is>
          <t>AUD</t>
        </is>
      </c>
      <c r="AU207" t="inlineStr">
        <is>
          <t>Company Owned</t>
        </is>
      </c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 t="n">
        <v>0.0</v>
      </c>
      <c r="BK207"/>
      <c r="BL207"/>
      <c r="BM207"/>
      <c r="BN207"/>
      <c r="BO207"/>
      <c r="BP207"/>
      <c r="BQ207"/>
      <c r="BR207"/>
      <c r="BS207"/>
      <c r="BT207"/>
      <c r="BU207" t="inlineStr">
        <is>
          <t>Yes</t>
        </is>
      </c>
      <c r="BV207"/>
      <c r="BW207"/>
      <c r="BX207"/>
    </row>
    <row r="208">
      <c r="A208" s="5" t="inlineStr">
        <is>
          <t>SERV</t>
        </is>
      </c>
      <c r="B208" s="5" t="inlineStr">
        <is>
          <t>140487</t>
        </is>
      </c>
      <c r="C208" s="5" t="inlineStr">
        <is>
          <t>Sensor Pressure Steam Gen 5</t>
        </is>
      </c>
      <c r="D208" s="5" t="inlineStr">
        <is>
          <t>*</t>
        </is>
      </c>
      <c r="E208" s="5" t="inlineStr">
        <is>
          <t>602-003</t>
        </is>
      </c>
      <c r="F208" s="5" t="inlineStr">
        <is>
          <t>*</t>
        </is>
      </c>
      <c r="G208" s="5" t="inlineStr">
        <is>
          <t>*</t>
        </is>
      </c>
      <c r="H208"/>
      <c r="I208"/>
      <c r="J208" s="5" t="inlineStr">
        <is>
          <t>1</t>
        </is>
      </c>
      <c r="K208" s="5" t="inlineStr">
        <is>
          <t>*</t>
        </is>
      </c>
      <c r="L208" t="n">
        <v>0.0</v>
      </c>
      <c r="M208" s="5" t="inlineStr">
        <is>
          <t>602</t>
        </is>
      </c>
      <c r="N208" s="5" t="inlineStr">
        <is>
          <t xml:space="preserve">  -</t>
        </is>
      </c>
      <c r="O208" s="5" t="inlineStr">
        <is>
          <t xml:space="preserve">  -</t>
        </is>
      </c>
      <c r="P208" s="5" t="inlineStr">
        <is>
          <t xml:space="preserve">  -</t>
        </is>
      </c>
      <c r="Q208" s="5" t="inlineStr">
        <is>
          <t>003</t>
        </is>
      </c>
      <c r="R208"/>
      <c r="S208" t="n">
        <v>1.0</v>
      </c>
      <c r="T208"/>
      <c r="U208" t="n">
        <v>1.0</v>
      </c>
      <c r="V208"/>
      <c r="W208" t="n">
        <v>0.0</v>
      </c>
      <c r="X208" t="n">
        <v>0.0</v>
      </c>
      <c r="Y208" t="n">
        <v>0.0</v>
      </c>
      <c r="Z208"/>
      <c r="AA208" t="n">
        <v>0.0</v>
      </c>
      <c r="AB208"/>
      <c r="AC208" t="n">
        <v>1.0</v>
      </c>
      <c r="AD208" s="5" t="inlineStr">
        <is>
          <t>pcs</t>
        </is>
      </c>
      <c r="AE208"/>
      <c r="AF208" s="5" t="inlineStr">
        <is>
          <t>pcs</t>
        </is>
      </c>
      <c r="AG208"/>
      <c r="AH208" t="inlineStr">
        <is>
          <t>No</t>
        </is>
      </c>
      <c r="AI208" s="2" t="n">
        <v>45841.40871527778</v>
      </c>
      <c r="AJ208" s="1" t="n">
        <f>DATE(2025,7,3)</f>
        <v>0.0</v>
      </c>
      <c r="AK208" t="inlineStr">
        <is>
          <t>Picking</t>
        </is>
      </c>
      <c r="AL208" s="2" t="n">
        <v>44487.52861111111</v>
      </c>
      <c r="AM208"/>
      <c r="AN208"/>
      <c r="AO208" t="n">
        <v>0.0</v>
      </c>
      <c r="AP208" t="n">
        <v>0.0</v>
      </c>
      <c r="AQ208"/>
      <c r="AR208" t="n">
        <v>216.22448791521458</v>
      </c>
      <c r="AS208" t="n">
        <v>216.22448791521458</v>
      </c>
      <c r="AT208" s="5" t="inlineStr">
        <is>
          <t>AUD</t>
        </is>
      </c>
      <c r="AU208" t="inlineStr">
        <is>
          <t>Company Owned</t>
        </is>
      </c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 t="n">
        <v>0.0</v>
      </c>
      <c r="BK208"/>
      <c r="BL208"/>
      <c r="BM208"/>
      <c r="BN208"/>
      <c r="BO208"/>
      <c r="BP208"/>
      <c r="BQ208"/>
      <c r="BR208"/>
      <c r="BS208"/>
      <c r="BT208"/>
      <c r="BU208" t="inlineStr">
        <is>
          <t>Yes</t>
        </is>
      </c>
      <c r="BV208"/>
      <c r="BW208"/>
      <c r="BX208"/>
    </row>
    <row r="209">
      <c r="A209" s="5" t="inlineStr">
        <is>
          <t>SERV</t>
        </is>
      </c>
      <c r="B209" s="5" t="inlineStr">
        <is>
          <t>140763</t>
        </is>
      </c>
      <c r="C209" s="5" t="inlineStr">
        <is>
          <t>Actuator Valve 3/4 Valve Module</t>
        </is>
      </c>
      <c r="D209" s="5" t="inlineStr">
        <is>
          <t>*</t>
        </is>
      </c>
      <c r="E209" s="5" t="inlineStr">
        <is>
          <t>602-060</t>
        </is>
      </c>
      <c r="F209" s="5" t="inlineStr">
        <is>
          <t>*</t>
        </is>
      </c>
      <c r="G209" s="5" t="inlineStr">
        <is>
          <t>*</t>
        </is>
      </c>
      <c r="H209"/>
      <c r="I209"/>
      <c r="J209" s="5" t="inlineStr">
        <is>
          <t>1</t>
        </is>
      </c>
      <c r="K209" s="5" t="inlineStr">
        <is>
          <t>*</t>
        </is>
      </c>
      <c r="L209" t="n">
        <v>0.0</v>
      </c>
      <c r="M209" s="5" t="inlineStr">
        <is>
          <t>602</t>
        </is>
      </c>
      <c r="N209" s="5" t="inlineStr">
        <is>
          <t xml:space="preserve">  -</t>
        </is>
      </c>
      <c r="O209" s="5" t="inlineStr">
        <is>
          <t xml:space="preserve">  -</t>
        </is>
      </c>
      <c r="P209" s="5" t="inlineStr">
        <is>
          <t xml:space="preserve">  -</t>
        </is>
      </c>
      <c r="Q209" s="5" t="inlineStr">
        <is>
          <t>060</t>
        </is>
      </c>
      <c r="R209"/>
      <c r="S209" t="n">
        <v>1.0</v>
      </c>
      <c r="T209"/>
      <c r="U209" t="n">
        <v>1.0</v>
      </c>
      <c r="V209"/>
      <c r="W209" t="n">
        <v>0.0</v>
      </c>
      <c r="X209" t="n">
        <v>0.0</v>
      </c>
      <c r="Y209" t="n">
        <v>0.0</v>
      </c>
      <c r="Z209"/>
      <c r="AA209" t="n">
        <v>0.0</v>
      </c>
      <c r="AB209"/>
      <c r="AC209" t="n">
        <v>1.0</v>
      </c>
      <c r="AD209" s="5" t="inlineStr">
        <is>
          <t>pcs</t>
        </is>
      </c>
      <c r="AE209"/>
      <c r="AF209" s="5" t="inlineStr">
        <is>
          <t>pcs</t>
        </is>
      </c>
      <c r="AG209"/>
      <c r="AH209" t="inlineStr">
        <is>
          <t>No</t>
        </is>
      </c>
      <c r="AI209" s="2" t="n">
        <v>45841.408796296295</v>
      </c>
      <c r="AJ209" s="1" t="n">
        <f>DATE(2025,7,3)</f>
        <v>0.0</v>
      </c>
      <c r="AK209" t="inlineStr">
        <is>
          <t>Picking</t>
        </is>
      </c>
      <c r="AL209" s="2" t="n">
        <v>45369.55583333333</v>
      </c>
      <c r="AM209"/>
      <c r="AN209"/>
      <c r="AO209" t="n">
        <v>0.0</v>
      </c>
      <c r="AP209" t="n">
        <v>1.0</v>
      </c>
      <c r="AQ209"/>
      <c r="AR209" t="n">
        <v>185.1678125</v>
      </c>
      <c r="AS209" t="n">
        <v>185.1678125</v>
      </c>
      <c r="AT209" s="5" t="inlineStr">
        <is>
          <t>AUD</t>
        </is>
      </c>
      <c r="AU209" t="inlineStr">
        <is>
          <t>Company Owned</t>
        </is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 t="n">
        <v>0.0</v>
      </c>
      <c r="BK209"/>
      <c r="BL209"/>
      <c r="BM209"/>
      <c r="BN209"/>
      <c r="BO209"/>
      <c r="BP209"/>
      <c r="BQ209"/>
      <c r="BR209"/>
      <c r="BS209"/>
      <c r="BT209"/>
      <c r="BU209" t="inlineStr">
        <is>
          <t>Yes</t>
        </is>
      </c>
      <c r="BV209"/>
      <c r="BW209"/>
      <c r="BX209"/>
    </row>
    <row r="210">
      <c r="A210" s="5" t="inlineStr">
        <is>
          <t>SERV</t>
        </is>
      </c>
      <c r="B210" s="5" t="inlineStr">
        <is>
          <t>140766</t>
        </is>
      </c>
      <c r="C210" s="5" t="inlineStr">
        <is>
          <t>Seat Kit 1/2 Valve Module</t>
        </is>
      </c>
      <c r="D210" s="5" t="inlineStr">
        <is>
          <t>*</t>
        </is>
      </c>
      <c r="E210" s="5" t="inlineStr">
        <is>
          <t>602-005</t>
        </is>
      </c>
      <c r="F210" s="5" t="inlineStr">
        <is>
          <t>*</t>
        </is>
      </c>
      <c r="G210" s="5" t="inlineStr">
        <is>
          <t>*</t>
        </is>
      </c>
      <c r="H210"/>
      <c r="I210"/>
      <c r="J210" s="5" t="inlineStr">
        <is>
          <t>1</t>
        </is>
      </c>
      <c r="K210" s="5" t="inlineStr">
        <is>
          <t>*</t>
        </is>
      </c>
      <c r="L210" t="n">
        <v>0.0</v>
      </c>
      <c r="M210" s="5" t="inlineStr">
        <is>
          <t>602</t>
        </is>
      </c>
      <c r="N210" s="5" t="inlineStr">
        <is>
          <t xml:space="preserve">  -</t>
        </is>
      </c>
      <c r="O210" s="5" t="inlineStr">
        <is>
          <t xml:space="preserve">  -</t>
        </is>
      </c>
      <c r="P210" s="5" t="inlineStr">
        <is>
          <t xml:space="preserve">  -</t>
        </is>
      </c>
      <c r="Q210" s="5" t="inlineStr">
        <is>
          <t>005</t>
        </is>
      </c>
      <c r="R210"/>
      <c r="S210" t="n">
        <v>4.0</v>
      </c>
      <c r="T210"/>
      <c r="U210" t="n">
        <v>4.0</v>
      </c>
      <c r="V210"/>
      <c r="W210" t="n">
        <v>0.0</v>
      </c>
      <c r="X210" t="n">
        <v>0.0</v>
      </c>
      <c r="Y210" t="n">
        <v>0.0</v>
      </c>
      <c r="Z210"/>
      <c r="AA210" t="n">
        <v>0.0</v>
      </c>
      <c r="AB210"/>
      <c r="AC210" t="n">
        <v>4.0</v>
      </c>
      <c r="AD210" s="5" t="inlineStr">
        <is>
          <t>pcs</t>
        </is>
      </c>
      <c r="AE210"/>
      <c r="AF210" s="5" t="inlineStr">
        <is>
          <t>pcs</t>
        </is>
      </c>
      <c r="AG210"/>
      <c r="AH210" t="inlineStr">
        <is>
          <t>No</t>
        </is>
      </c>
      <c r="AI210" s="2" t="n">
        <v>46038.43599537037</v>
      </c>
      <c r="AJ210" s="1" t="n">
        <f>DATE(2025,7,3)</f>
        <v>0.0</v>
      </c>
      <c r="AK210" t="inlineStr">
        <is>
          <t>Picking</t>
        </is>
      </c>
      <c r="AL210" s="2" t="n">
        <v>45828.462175925924</v>
      </c>
      <c r="AM210"/>
      <c r="AN210"/>
      <c r="AO210" t="n">
        <v>0.0</v>
      </c>
      <c r="AP210" t="n">
        <v>0.0</v>
      </c>
      <c r="AQ210"/>
      <c r="AR210" t="n">
        <v>13.048652177355503</v>
      </c>
      <c r="AS210" t="n">
        <v>52.19460870942201</v>
      </c>
      <c r="AT210" s="5" t="inlineStr">
        <is>
          <t>AUD</t>
        </is>
      </c>
      <c r="AU210" t="inlineStr">
        <is>
          <t>Company Owned</t>
        </is>
      </c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 t="n">
        <v>0.0</v>
      </c>
      <c r="BK210"/>
      <c r="BL210"/>
      <c r="BM210"/>
      <c r="BN210"/>
      <c r="BO210"/>
      <c r="BP210"/>
      <c r="BQ210"/>
      <c r="BR210"/>
      <c r="BS210"/>
      <c r="BT210"/>
      <c r="BU210" t="inlineStr">
        <is>
          <t>Yes</t>
        </is>
      </c>
      <c r="BV210"/>
      <c r="BW210"/>
      <c r="BX210"/>
    </row>
    <row r="211">
      <c r="A211" s="5" t="inlineStr">
        <is>
          <t>SERV</t>
        </is>
      </c>
      <c r="B211" s="5" t="inlineStr">
        <is>
          <t>140769</t>
        </is>
      </c>
      <c r="C211" s="5" t="inlineStr">
        <is>
          <t>O-Ring Kit Valve Module</t>
        </is>
      </c>
      <c r="D211" s="5" t="inlineStr">
        <is>
          <t>*</t>
        </is>
      </c>
      <c r="E211" s="5" t="inlineStr">
        <is>
          <t>602-060</t>
        </is>
      </c>
      <c r="F211" s="5" t="inlineStr">
        <is>
          <t>*</t>
        </is>
      </c>
      <c r="G211" s="5" t="inlineStr">
        <is>
          <t>*</t>
        </is>
      </c>
      <c r="H211"/>
      <c r="I211"/>
      <c r="J211" s="5" t="inlineStr">
        <is>
          <t>1</t>
        </is>
      </c>
      <c r="K211" s="5" t="inlineStr">
        <is>
          <t>*</t>
        </is>
      </c>
      <c r="L211" t="n">
        <v>0.0</v>
      </c>
      <c r="M211" s="5" t="inlineStr">
        <is>
          <t>602</t>
        </is>
      </c>
      <c r="N211" s="5" t="inlineStr">
        <is>
          <t xml:space="preserve">  -</t>
        </is>
      </c>
      <c r="O211" s="5" t="inlineStr">
        <is>
          <t xml:space="preserve">  -</t>
        </is>
      </c>
      <c r="P211" s="5" t="inlineStr">
        <is>
          <t xml:space="preserve">  -</t>
        </is>
      </c>
      <c r="Q211" s="5" t="inlineStr">
        <is>
          <t>060</t>
        </is>
      </c>
      <c r="R211"/>
      <c r="S211" t="n">
        <v>1.0</v>
      </c>
      <c r="T211"/>
      <c r="U211" t="n">
        <v>1.0</v>
      </c>
      <c r="V211"/>
      <c r="W211" t="n">
        <v>0.0</v>
      </c>
      <c r="X211" t="n">
        <v>0.0</v>
      </c>
      <c r="Y211" t="n">
        <v>0.0</v>
      </c>
      <c r="Z211"/>
      <c r="AA211" t="n">
        <v>0.0</v>
      </c>
      <c r="AB211"/>
      <c r="AC211" t="n">
        <v>1.0</v>
      </c>
      <c r="AD211" s="5" t="inlineStr">
        <is>
          <t>pcs</t>
        </is>
      </c>
      <c r="AE211"/>
      <c r="AF211" s="5" t="inlineStr">
        <is>
          <t>pcs</t>
        </is>
      </c>
      <c r="AG211"/>
      <c r="AH211" t="inlineStr">
        <is>
          <t>No</t>
        </is>
      </c>
      <c r="AI211" s="2" t="n">
        <v>45841.408796296295</v>
      </c>
      <c r="AJ211" s="1" t="n">
        <f>DATE(2025,7,3)</f>
        <v>0.0</v>
      </c>
      <c r="AK211" t="inlineStr">
        <is>
          <t>Picking</t>
        </is>
      </c>
      <c r="AL211" s="2" t="n">
        <v>44144.3078125</v>
      </c>
      <c r="AM211"/>
      <c r="AN211"/>
      <c r="AO211" t="n">
        <v>0.0</v>
      </c>
      <c r="AP211" t="n">
        <v>0.0</v>
      </c>
      <c r="AQ211"/>
      <c r="AR211" t="n">
        <v>4.0802</v>
      </c>
      <c r="AS211" t="n">
        <v>4.0802</v>
      </c>
      <c r="AT211" s="5" t="inlineStr">
        <is>
          <t>AUD</t>
        </is>
      </c>
      <c r="AU211" t="inlineStr">
        <is>
          <t>Company Owned</t>
        </is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 t="n">
        <v>0.0</v>
      </c>
      <c r="BK211"/>
      <c r="BL211"/>
      <c r="BM211"/>
      <c r="BN211"/>
      <c r="BO211"/>
      <c r="BP211"/>
      <c r="BQ211"/>
      <c r="BR211"/>
      <c r="BS211"/>
      <c r="BT211"/>
      <c r="BU211" t="inlineStr">
        <is>
          <t>Yes</t>
        </is>
      </c>
      <c r="BV211"/>
      <c r="BW211"/>
      <c r="BX211"/>
    </row>
    <row r="212">
      <c r="A212" s="5" t="inlineStr">
        <is>
          <t>SERV</t>
        </is>
      </c>
      <c r="B212" s="5" t="inlineStr">
        <is>
          <t>140770</t>
        </is>
      </c>
      <c r="C212" s="5" t="inlineStr">
        <is>
          <t>Diaphragm Kit Pressure Controller</t>
        </is>
      </c>
      <c r="D212" s="5" t="inlineStr">
        <is>
          <t>*</t>
        </is>
      </c>
      <c r="E212" s="5" t="inlineStr">
        <is>
          <t>602-060</t>
        </is>
      </c>
      <c r="F212" s="5" t="inlineStr">
        <is>
          <t>*</t>
        </is>
      </c>
      <c r="G212" s="5" t="inlineStr">
        <is>
          <t>*</t>
        </is>
      </c>
      <c r="H212"/>
      <c r="I212"/>
      <c r="J212" s="5" t="inlineStr">
        <is>
          <t>1</t>
        </is>
      </c>
      <c r="K212" s="5" t="inlineStr">
        <is>
          <t>*</t>
        </is>
      </c>
      <c r="L212" t="n">
        <v>0.0</v>
      </c>
      <c r="M212" s="5" t="inlineStr">
        <is>
          <t>602</t>
        </is>
      </c>
      <c r="N212" s="5" t="inlineStr">
        <is>
          <t xml:space="preserve">  -</t>
        </is>
      </c>
      <c r="O212" s="5" t="inlineStr">
        <is>
          <t xml:space="preserve">  -</t>
        </is>
      </c>
      <c r="P212" s="5" t="inlineStr">
        <is>
          <t xml:space="preserve">  -</t>
        </is>
      </c>
      <c r="Q212" s="5" t="inlineStr">
        <is>
          <t>060</t>
        </is>
      </c>
      <c r="R212"/>
      <c r="S212" t="n">
        <v>1.0</v>
      </c>
      <c r="T212"/>
      <c r="U212" t="n">
        <v>1.0</v>
      </c>
      <c r="V212"/>
      <c r="W212" t="n">
        <v>0.0</v>
      </c>
      <c r="X212" t="n">
        <v>0.0</v>
      </c>
      <c r="Y212" t="n">
        <v>0.0</v>
      </c>
      <c r="Z212"/>
      <c r="AA212" t="n">
        <v>0.0</v>
      </c>
      <c r="AB212"/>
      <c r="AC212" t="n">
        <v>1.0</v>
      </c>
      <c r="AD212" s="5" t="inlineStr">
        <is>
          <t>pcs</t>
        </is>
      </c>
      <c r="AE212"/>
      <c r="AF212" s="5" t="inlineStr">
        <is>
          <t>pcs</t>
        </is>
      </c>
      <c r="AG212"/>
      <c r="AH212" t="inlineStr">
        <is>
          <t>No</t>
        </is>
      </c>
      <c r="AI212" s="2" t="n">
        <v>45841.408796296295</v>
      </c>
      <c r="AJ212" s="1" t="n">
        <f>DATE(2025,7,3)</f>
        <v>0.0</v>
      </c>
      <c r="AK212" t="inlineStr">
        <is>
          <t>Picking</t>
        </is>
      </c>
      <c r="AL212" s="2" t="n">
        <v>44970.59226851852</v>
      </c>
      <c r="AM212"/>
      <c r="AN212"/>
      <c r="AO212" t="n">
        <v>0.0</v>
      </c>
      <c r="AP212" t="n">
        <v>0.0</v>
      </c>
      <c r="AQ212"/>
      <c r="AR212" t="n">
        <v>49.08722222222222</v>
      </c>
      <c r="AS212" t="n">
        <v>49.08722222222222</v>
      </c>
      <c r="AT212" s="5" t="inlineStr">
        <is>
          <t>AUD</t>
        </is>
      </c>
      <c r="AU212" t="inlineStr">
        <is>
          <t>Company Owned</t>
        </is>
      </c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 t="n">
        <v>0.0</v>
      </c>
      <c r="BK212"/>
      <c r="BL212"/>
      <c r="BM212"/>
      <c r="BN212"/>
      <c r="BO212"/>
      <c r="BP212"/>
      <c r="BQ212"/>
      <c r="BR212"/>
      <c r="BS212"/>
      <c r="BT212"/>
      <c r="BU212" t="inlineStr">
        <is>
          <t>Yes</t>
        </is>
      </c>
      <c r="BV212"/>
      <c r="BW212"/>
      <c r="BX212"/>
    </row>
    <row r="213">
      <c r="A213" s="5" t="inlineStr">
        <is>
          <t>SERV</t>
        </is>
      </c>
      <c r="B213" s="5" t="inlineStr">
        <is>
          <t>FUGBI0102-1</t>
        </is>
      </c>
      <c r="C213" s="5" t="inlineStr">
        <is>
          <t>Biological Indicator to suit Plasma Sterilizer 20 minute readout (Validation only)</t>
        </is>
      </c>
      <c r="D213" s="5" t="inlineStr">
        <is>
          <t>*</t>
        </is>
      </c>
      <c r="E213" s="5" t="inlineStr">
        <is>
          <t>602-060</t>
        </is>
      </c>
      <c r="F213" s="5" t="inlineStr">
        <is>
          <t>202506</t>
        </is>
      </c>
      <c r="G213" s="5" t="inlineStr">
        <is>
          <t>*</t>
        </is>
      </c>
      <c r="H213"/>
      <c r="I213"/>
      <c r="J213" s="5" t="inlineStr">
        <is>
          <t>1</t>
        </is>
      </c>
      <c r="K213" s="5" t="inlineStr">
        <is>
          <t>*</t>
        </is>
      </c>
      <c r="L213" t="n">
        <v>0.0</v>
      </c>
      <c r="M213" s="5" t="inlineStr">
        <is>
          <t>602</t>
        </is>
      </c>
      <c r="N213" s="5" t="inlineStr">
        <is>
          <t xml:space="preserve">  -</t>
        </is>
      </c>
      <c r="O213" s="5" t="inlineStr">
        <is>
          <t xml:space="preserve">  -</t>
        </is>
      </c>
      <c r="P213" s="5" t="inlineStr">
        <is>
          <t xml:space="preserve">  -</t>
        </is>
      </c>
      <c r="Q213" s="5" t="inlineStr">
        <is>
          <t>060</t>
        </is>
      </c>
      <c r="R213"/>
      <c r="S213" t="n">
        <v>150.0</v>
      </c>
      <c r="T213"/>
      <c r="U213" t="n">
        <v>150.0</v>
      </c>
      <c r="V213"/>
      <c r="W213" t="n">
        <v>0.0</v>
      </c>
      <c r="X213" t="n">
        <v>0.0</v>
      </c>
      <c r="Y213" t="n">
        <v>0.0</v>
      </c>
      <c r="Z213"/>
      <c r="AA213" t="n">
        <v>0.0</v>
      </c>
      <c r="AB213"/>
      <c r="AC213" t="n">
        <v>150.0</v>
      </c>
      <c r="AD213" s="5" t="inlineStr">
        <is>
          <t>pcs</t>
        </is>
      </c>
      <c r="AE213"/>
      <c r="AF213" s="5" t="inlineStr">
        <is>
          <t>pcs</t>
        </is>
      </c>
      <c r="AG213"/>
      <c r="AH213" t="inlineStr">
        <is>
          <t>No</t>
        </is>
      </c>
      <c r="AI213" s="2" t="n">
        <v>45953.48443287037</v>
      </c>
      <c r="AJ213"/>
      <c r="AK213" t="inlineStr">
        <is>
          <t>Picking</t>
        </is>
      </c>
      <c r="AL213" s="2" t="n">
        <v>45855.4509375</v>
      </c>
      <c r="AM213"/>
      <c r="AN213"/>
      <c r="AO213" t="n">
        <v>0.0</v>
      </c>
      <c r="AP213" t="n">
        <v>0.0</v>
      </c>
      <c r="AQ213" s="1" t="n">
        <f>DATE(2027,6,30)</f>
        <v>0.0</v>
      </c>
      <c r="AR213" t="n">
        <v>9.100049703495403</v>
      </c>
      <c r="AS213" t="n">
        <v>1365.0074555243104</v>
      </c>
      <c r="AT213" s="5" t="inlineStr">
        <is>
          <t>AUD</t>
        </is>
      </c>
      <c r="AU213" t="inlineStr">
        <is>
          <t>Company Owned</t>
        </is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 t="n">
        <v>0.0</v>
      </c>
      <c r="BK213"/>
      <c r="BL213"/>
      <c r="BM213"/>
      <c r="BN213"/>
      <c r="BO213"/>
      <c r="BP213"/>
      <c r="BQ213"/>
      <c r="BR213"/>
      <c r="BS213"/>
      <c r="BT213"/>
      <c r="BU213" t="inlineStr">
        <is>
          <t>Yes</t>
        </is>
      </c>
      <c r="BV213"/>
      <c r="BW213"/>
      <c r="BX213"/>
    </row>
    <row r="214">
      <c r="A214" s="5" t="inlineStr">
        <is>
          <t>SERV</t>
        </is>
      </c>
      <c r="B214" s="5" t="inlineStr">
        <is>
          <t>PLIQ2900009</t>
        </is>
      </c>
      <c r="C214" s="5" t="inlineStr">
        <is>
          <t>Washer PTFE for Spray Arm IQ Range</t>
        </is>
      </c>
      <c r="D214" s="5" t="inlineStr">
        <is>
          <t>*</t>
        </is>
      </c>
      <c r="E214" s="5" t="inlineStr">
        <is>
          <t>602-060</t>
        </is>
      </c>
      <c r="F214" s="5" t="inlineStr">
        <is>
          <t>*</t>
        </is>
      </c>
      <c r="G214" s="5" t="inlineStr">
        <is>
          <t>*</t>
        </is>
      </c>
      <c r="H214"/>
      <c r="I214"/>
      <c r="J214" s="5" t="inlineStr">
        <is>
          <t>1</t>
        </is>
      </c>
      <c r="K214" s="5" t="inlineStr">
        <is>
          <t>*</t>
        </is>
      </c>
      <c r="L214" t="n">
        <v>0.0</v>
      </c>
      <c r="M214" s="5" t="inlineStr">
        <is>
          <t>602</t>
        </is>
      </c>
      <c r="N214" s="5" t="inlineStr">
        <is>
          <t xml:space="preserve">  -</t>
        </is>
      </c>
      <c r="O214" s="5" t="inlineStr">
        <is>
          <t xml:space="preserve">  -</t>
        </is>
      </c>
      <c r="P214" s="5" t="inlineStr">
        <is>
          <t xml:space="preserve">  -</t>
        </is>
      </c>
      <c r="Q214" s="5" t="inlineStr">
        <is>
          <t>060</t>
        </is>
      </c>
      <c r="R214"/>
      <c r="S214" t="n">
        <v>5.0</v>
      </c>
      <c r="T214"/>
      <c r="U214" t="n">
        <v>5.0</v>
      </c>
      <c r="V214"/>
      <c r="W214" t="n">
        <v>0.0</v>
      </c>
      <c r="X214" t="n">
        <v>0.0</v>
      </c>
      <c r="Y214" t="n">
        <v>0.0</v>
      </c>
      <c r="Z214"/>
      <c r="AA214" t="n">
        <v>0.0</v>
      </c>
      <c r="AB214"/>
      <c r="AC214" t="n">
        <v>5.0</v>
      </c>
      <c r="AD214" s="5" t="inlineStr">
        <is>
          <t>pcs</t>
        </is>
      </c>
      <c r="AE214"/>
      <c r="AF214" s="5" t="inlineStr">
        <is>
          <t>pcs</t>
        </is>
      </c>
      <c r="AG214"/>
      <c r="AH214" t="inlineStr">
        <is>
          <t>No</t>
        </is>
      </c>
      <c r="AI214" s="2" t="n">
        <v>45841.408796296295</v>
      </c>
      <c r="AJ214" s="1" t="n">
        <f>DATE(2025,7,3)</f>
        <v>0.0</v>
      </c>
      <c r="AK214" t="inlineStr">
        <is>
          <t>Picking</t>
        </is>
      </c>
      <c r="AL214" s="2" t="n">
        <v>45429.40351851852</v>
      </c>
      <c r="AM214"/>
      <c r="AN214"/>
      <c r="AO214" t="n">
        <v>0.0</v>
      </c>
      <c r="AP214" t="n">
        <v>0.0</v>
      </c>
      <c r="AQ214"/>
      <c r="AR214" t="n">
        <v>11.498228397011466</v>
      </c>
      <c r="AS214" t="n">
        <v>57.49114198505733</v>
      </c>
      <c r="AT214" s="5" t="inlineStr">
        <is>
          <t>AUD</t>
        </is>
      </c>
      <c r="AU214" t="inlineStr">
        <is>
          <t>Company Owned</t>
        </is>
      </c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 t="n">
        <v>0.0</v>
      </c>
      <c r="BK214"/>
      <c r="BL214"/>
      <c r="BM214"/>
      <c r="BN214"/>
      <c r="BO214"/>
      <c r="BP214"/>
      <c r="BQ214"/>
      <c r="BR214"/>
      <c r="BS214"/>
      <c r="BT214"/>
      <c r="BU214" t="inlineStr">
        <is>
          <t>Yes</t>
        </is>
      </c>
      <c r="BV214"/>
      <c r="BW214"/>
      <c r="BX214"/>
    </row>
    <row r="215">
      <c r="A215" s="5" t="inlineStr">
        <is>
          <t>SERV</t>
        </is>
      </c>
      <c r="B215" s="5" t="inlineStr">
        <is>
          <t>140980</t>
        </is>
      </c>
      <c r="C215" s="5" t="inlineStr">
        <is>
          <t>Cable Adapter M8 Plug - M12 Socket</t>
        </is>
      </c>
      <c r="D215" s="5" t="inlineStr">
        <is>
          <t>*</t>
        </is>
      </c>
      <c r="E215" s="5" t="inlineStr">
        <is>
          <t>602-060</t>
        </is>
      </c>
      <c r="F215" s="5" t="inlineStr">
        <is>
          <t>*</t>
        </is>
      </c>
      <c r="G215" s="5" t="inlineStr">
        <is>
          <t>*</t>
        </is>
      </c>
      <c r="H215"/>
      <c r="I215"/>
      <c r="J215" s="5" t="inlineStr">
        <is>
          <t>1</t>
        </is>
      </c>
      <c r="K215" s="5" t="inlineStr">
        <is>
          <t>*</t>
        </is>
      </c>
      <c r="L215" t="n">
        <v>0.0</v>
      </c>
      <c r="M215" s="5" t="inlineStr">
        <is>
          <t>602</t>
        </is>
      </c>
      <c r="N215" s="5" t="inlineStr">
        <is>
          <t xml:space="preserve">  -</t>
        </is>
      </c>
      <c r="O215" s="5" t="inlineStr">
        <is>
          <t xml:space="preserve">  -</t>
        </is>
      </c>
      <c r="P215" s="5" t="inlineStr">
        <is>
          <t xml:space="preserve">  -</t>
        </is>
      </c>
      <c r="Q215" s="5" t="inlineStr">
        <is>
          <t>060</t>
        </is>
      </c>
      <c r="R215"/>
      <c r="S215" t="n">
        <v>1.0</v>
      </c>
      <c r="T215"/>
      <c r="U215" t="n">
        <v>1.0</v>
      </c>
      <c r="V215"/>
      <c r="W215" t="n">
        <v>0.0</v>
      </c>
      <c r="X215" t="n">
        <v>0.0</v>
      </c>
      <c r="Y215" t="n">
        <v>0.0</v>
      </c>
      <c r="Z215"/>
      <c r="AA215" t="n">
        <v>0.0</v>
      </c>
      <c r="AB215"/>
      <c r="AC215" t="n">
        <v>1.0</v>
      </c>
      <c r="AD215" s="5" t="inlineStr">
        <is>
          <t>pcs</t>
        </is>
      </c>
      <c r="AE215"/>
      <c r="AF215" s="5" t="inlineStr">
        <is>
          <t>pcs</t>
        </is>
      </c>
      <c r="AG215"/>
      <c r="AH215" t="inlineStr">
        <is>
          <t>No</t>
        </is>
      </c>
      <c r="AI215" s="2" t="n">
        <v>45841.408796296295</v>
      </c>
      <c r="AJ215" s="1" t="n">
        <f>DATE(2025,7,3)</f>
        <v>0.0</v>
      </c>
      <c r="AK215" t="inlineStr">
        <is>
          <t>Picking</t>
        </is>
      </c>
      <c r="AL215" s="2" t="n">
        <v>44894.37038194444</v>
      </c>
      <c r="AM215"/>
      <c r="AN215"/>
      <c r="AO215" t="n">
        <v>0.0</v>
      </c>
      <c r="AP215" t="n">
        <v>0.0</v>
      </c>
      <c r="AQ215"/>
      <c r="AR215" t="n">
        <v>67.98432432432432</v>
      </c>
      <c r="AS215" t="n">
        <v>67.98432432432432</v>
      </c>
      <c r="AT215" s="5" t="inlineStr">
        <is>
          <t>AUD</t>
        </is>
      </c>
      <c r="AU215" t="inlineStr">
        <is>
          <t>Company Owned</t>
        </is>
      </c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 t="n">
        <v>0.0</v>
      </c>
      <c r="BK215"/>
      <c r="BL215"/>
      <c r="BM215"/>
      <c r="BN215"/>
      <c r="BO215"/>
      <c r="BP215"/>
      <c r="BQ215"/>
      <c r="BR215"/>
      <c r="BS215"/>
      <c r="BT215"/>
      <c r="BU215" t="inlineStr">
        <is>
          <t>Yes</t>
        </is>
      </c>
      <c r="BV215"/>
      <c r="BW215"/>
      <c r="BX215"/>
    </row>
    <row r="216">
      <c r="A216" s="5" t="inlineStr">
        <is>
          <t>SERV</t>
        </is>
      </c>
      <c r="B216" s="5" t="inlineStr">
        <is>
          <t>141052</t>
        </is>
      </c>
      <c r="C216" s="5" t="inlineStr">
        <is>
          <t>O Ring Pilot Valve Camozzi</t>
        </is>
      </c>
      <c r="D216" s="5" t="inlineStr">
        <is>
          <t>*</t>
        </is>
      </c>
      <c r="E216" s="5" t="inlineStr">
        <is>
          <t>602-027</t>
        </is>
      </c>
      <c r="F216" s="5" t="inlineStr">
        <is>
          <t>*</t>
        </is>
      </c>
      <c r="G216" s="5" t="inlineStr">
        <is>
          <t>*</t>
        </is>
      </c>
      <c r="H216"/>
      <c r="I216"/>
      <c r="J216" s="5" t="inlineStr">
        <is>
          <t>1</t>
        </is>
      </c>
      <c r="K216" s="5" t="inlineStr">
        <is>
          <t>*</t>
        </is>
      </c>
      <c r="L216" t="n">
        <v>0.0</v>
      </c>
      <c r="M216" s="5" t="inlineStr">
        <is>
          <t>602</t>
        </is>
      </c>
      <c r="N216" s="5" t="inlineStr">
        <is>
          <t xml:space="preserve">  -</t>
        </is>
      </c>
      <c r="O216" s="5" t="inlineStr">
        <is>
          <t xml:space="preserve">  -</t>
        </is>
      </c>
      <c r="P216" s="5" t="inlineStr">
        <is>
          <t xml:space="preserve">  -</t>
        </is>
      </c>
      <c r="Q216" s="5" t="inlineStr">
        <is>
          <t>027</t>
        </is>
      </c>
      <c r="R216"/>
      <c r="S216" t="n">
        <v>10.0</v>
      </c>
      <c r="T216"/>
      <c r="U216" t="n">
        <v>10.0</v>
      </c>
      <c r="V216"/>
      <c r="W216" t="n">
        <v>0.0</v>
      </c>
      <c r="X216" t="n">
        <v>0.0</v>
      </c>
      <c r="Y216" t="n">
        <v>0.0</v>
      </c>
      <c r="Z216"/>
      <c r="AA216" t="n">
        <v>0.0</v>
      </c>
      <c r="AB216"/>
      <c r="AC216" t="n">
        <v>10.0</v>
      </c>
      <c r="AD216" s="5" t="inlineStr">
        <is>
          <t>pcs</t>
        </is>
      </c>
      <c r="AE216"/>
      <c r="AF216" s="5" t="inlineStr">
        <is>
          <t>pcs</t>
        </is>
      </c>
      <c r="AG216"/>
      <c r="AH216" t="inlineStr">
        <is>
          <t>No</t>
        </is>
      </c>
      <c r="AI216" s="2" t="n">
        <v>45841.408784722225</v>
      </c>
      <c r="AJ216" s="1" t="n">
        <f>DATE(2025,7,3)</f>
        <v>0.0</v>
      </c>
      <c r="AK216" t="inlineStr">
        <is>
          <t>Picking</t>
        </is>
      </c>
      <c r="AL216" s="2" t="n">
        <v>45238.277349537035</v>
      </c>
      <c r="AM216"/>
      <c r="AN216"/>
      <c r="AO216" t="n">
        <v>0.0</v>
      </c>
      <c r="AP216" t="n">
        <v>0.0</v>
      </c>
      <c r="AQ216"/>
      <c r="AR216" t="n">
        <v>0.07895874263261296</v>
      </c>
      <c r="AS216" t="n">
        <v>0.7895874263261297</v>
      </c>
      <c r="AT216" s="5" t="inlineStr">
        <is>
          <t>AUD</t>
        </is>
      </c>
      <c r="AU216" t="inlineStr">
        <is>
          <t>Company Owned</t>
        </is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 t="n">
        <v>0.0</v>
      </c>
      <c r="BK216"/>
      <c r="BL216"/>
      <c r="BM216"/>
      <c r="BN216"/>
      <c r="BO216"/>
      <c r="BP216"/>
      <c r="BQ216"/>
      <c r="BR216"/>
      <c r="BS216"/>
      <c r="BT216"/>
      <c r="BU216" t="inlineStr">
        <is>
          <t>Yes</t>
        </is>
      </c>
      <c r="BV216"/>
      <c r="BW216"/>
      <c r="BX216"/>
    </row>
    <row r="217">
      <c r="A217" s="5" t="inlineStr">
        <is>
          <t>SERV</t>
        </is>
      </c>
      <c r="B217" s="5" t="inlineStr">
        <is>
          <t>831037</t>
        </is>
      </c>
      <c r="C217" s="5" t="inlineStr">
        <is>
          <t>Grease AK50 45g Tube</t>
        </is>
      </c>
      <c r="D217" s="5" t="inlineStr">
        <is>
          <t>*</t>
        </is>
      </c>
      <c r="E217" s="5" t="inlineStr">
        <is>
          <t>602-001</t>
        </is>
      </c>
      <c r="F217" s="5" t="inlineStr">
        <is>
          <t>*</t>
        </is>
      </c>
      <c r="G217" s="5" t="inlineStr">
        <is>
          <t>*</t>
        </is>
      </c>
      <c r="H217"/>
      <c r="I217"/>
      <c r="J217" s="5" t="inlineStr">
        <is>
          <t>1</t>
        </is>
      </c>
      <c r="K217" s="5" t="inlineStr">
        <is>
          <t>*</t>
        </is>
      </c>
      <c r="L217" t="n">
        <v>0.0</v>
      </c>
      <c r="M217" s="5" t="inlineStr">
        <is>
          <t>602</t>
        </is>
      </c>
      <c r="N217" s="5" t="inlineStr">
        <is>
          <t xml:space="preserve">  -</t>
        </is>
      </c>
      <c r="O217" s="5" t="inlineStr">
        <is>
          <t xml:space="preserve">  -</t>
        </is>
      </c>
      <c r="P217" s="5" t="inlineStr">
        <is>
          <t xml:space="preserve">  -</t>
        </is>
      </c>
      <c r="Q217" s="5" t="inlineStr">
        <is>
          <t>001</t>
        </is>
      </c>
      <c r="R217"/>
      <c r="S217" t="n">
        <v>1.0</v>
      </c>
      <c r="T217"/>
      <c r="U217" t="n">
        <v>1.0</v>
      </c>
      <c r="V217"/>
      <c r="W217" t="n">
        <v>0.0</v>
      </c>
      <c r="X217" t="n">
        <v>0.0</v>
      </c>
      <c r="Y217" t="n">
        <v>0.0</v>
      </c>
      <c r="Z217"/>
      <c r="AA217" t="n">
        <v>0.0</v>
      </c>
      <c r="AB217"/>
      <c r="AC217" t="n">
        <v>1.0</v>
      </c>
      <c r="AD217" s="5" t="inlineStr">
        <is>
          <t>pcs</t>
        </is>
      </c>
      <c r="AE217"/>
      <c r="AF217" s="5" t="inlineStr">
        <is>
          <t>pcs</t>
        </is>
      </c>
      <c r="AG217"/>
      <c r="AH217" t="inlineStr">
        <is>
          <t>No</t>
        </is>
      </c>
      <c r="AI217" s="2" t="n">
        <v>45841.4087037037</v>
      </c>
      <c r="AJ217" s="1" t="n">
        <f>DATE(2025,7,3)</f>
        <v>0.0</v>
      </c>
      <c r="AK217" t="inlineStr">
        <is>
          <t>Picking</t>
        </is>
      </c>
      <c r="AL217" s="2" t="n">
        <v>45744.578055555554</v>
      </c>
      <c r="AM217"/>
      <c r="AN217"/>
      <c r="AO217" t="n">
        <v>0.0</v>
      </c>
      <c r="AP217" t="n">
        <v>0.0</v>
      </c>
      <c r="AQ217"/>
      <c r="AR217" t="n">
        <v>41.41184027777778</v>
      </c>
      <c r="AS217" t="n">
        <v>41.41184027777778</v>
      </c>
      <c r="AT217" s="5" t="inlineStr">
        <is>
          <t>AUD</t>
        </is>
      </c>
      <c r="AU217" t="inlineStr">
        <is>
          <t>Company Owned</t>
        </is>
      </c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 t="n">
        <v>0.0</v>
      </c>
      <c r="BK217"/>
      <c r="BL217"/>
      <c r="BM217"/>
      <c r="BN217"/>
      <c r="BO217"/>
      <c r="BP217"/>
      <c r="BQ217"/>
      <c r="BR217"/>
      <c r="BS217"/>
      <c r="BT217"/>
      <c r="BU217" t="inlineStr">
        <is>
          <t>Yes</t>
        </is>
      </c>
      <c r="BV217"/>
      <c r="BW217"/>
      <c r="BX217"/>
    </row>
    <row r="218">
      <c r="A218" s="5" t="inlineStr">
        <is>
          <t>SERV</t>
        </is>
      </c>
      <c r="B218" s="5" t="inlineStr">
        <is>
          <t>140883</t>
        </is>
      </c>
      <c r="C218" s="5" t="inlineStr">
        <is>
          <t>Switch Horizontal Float High Temp</t>
        </is>
      </c>
      <c r="D218" s="5" t="inlineStr">
        <is>
          <t>*</t>
        </is>
      </c>
      <c r="E218" s="5" t="inlineStr">
        <is>
          <t>602-060</t>
        </is>
      </c>
      <c r="F218" s="5" t="inlineStr">
        <is>
          <t>*</t>
        </is>
      </c>
      <c r="G218" s="5" t="inlineStr">
        <is>
          <t>*</t>
        </is>
      </c>
      <c r="H218"/>
      <c r="I218"/>
      <c r="J218" s="5" t="inlineStr">
        <is>
          <t>1</t>
        </is>
      </c>
      <c r="K218" s="5" t="inlineStr">
        <is>
          <t>*</t>
        </is>
      </c>
      <c r="L218" t="n">
        <v>0.0</v>
      </c>
      <c r="M218" s="5" t="inlineStr">
        <is>
          <t>602</t>
        </is>
      </c>
      <c r="N218" s="5" t="inlineStr">
        <is>
          <t xml:space="preserve">  -</t>
        </is>
      </c>
      <c r="O218" s="5" t="inlineStr">
        <is>
          <t xml:space="preserve">  -</t>
        </is>
      </c>
      <c r="P218" s="5" t="inlineStr">
        <is>
          <t xml:space="preserve">  -</t>
        </is>
      </c>
      <c r="Q218" s="5" t="inlineStr">
        <is>
          <t>060</t>
        </is>
      </c>
      <c r="R218"/>
      <c r="S218" t="n">
        <v>1.0</v>
      </c>
      <c r="T218"/>
      <c r="U218" t="n">
        <v>1.0</v>
      </c>
      <c r="V218"/>
      <c r="W218" t="n">
        <v>0.0</v>
      </c>
      <c r="X218" t="n">
        <v>0.0</v>
      </c>
      <c r="Y218" t="n">
        <v>0.0</v>
      </c>
      <c r="Z218"/>
      <c r="AA218" t="n">
        <v>0.0</v>
      </c>
      <c r="AB218"/>
      <c r="AC218" t="n">
        <v>1.0</v>
      </c>
      <c r="AD218" s="5" t="inlineStr">
        <is>
          <t>pcs</t>
        </is>
      </c>
      <c r="AE218"/>
      <c r="AF218" s="5" t="inlineStr">
        <is>
          <t>pcs</t>
        </is>
      </c>
      <c r="AG218"/>
      <c r="AH218" t="inlineStr">
        <is>
          <t>No</t>
        </is>
      </c>
      <c r="AI218" s="2" t="n">
        <v>45841.40898148148</v>
      </c>
      <c r="AJ218"/>
      <c r="AK218" t="inlineStr">
        <is>
          <t>Picking</t>
        </is>
      </c>
      <c r="AL218" s="2" t="n">
        <v>44882.46703703704</v>
      </c>
      <c r="AM218"/>
      <c r="AN218"/>
      <c r="AO218" t="n">
        <v>0.0</v>
      </c>
      <c r="AP218" t="n">
        <v>0.0</v>
      </c>
      <c r="AQ218"/>
      <c r="AR218" t="n">
        <v>110.87666666666667</v>
      </c>
      <c r="AS218" t="n">
        <v>110.87666666666667</v>
      </c>
      <c r="AT218" s="5" t="inlineStr">
        <is>
          <t>AUD</t>
        </is>
      </c>
      <c r="AU218" t="inlineStr">
        <is>
          <t>Company Owned</t>
        </is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 t="n">
        <v>0.0</v>
      </c>
      <c r="BK218"/>
      <c r="BL218"/>
      <c r="BM218"/>
      <c r="BN218"/>
      <c r="BO218"/>
      <c r="BP218"/>
      <c r="BQ218"/>
      <c r="BR218"/>
      <c r="BS218"/>
      <c r="BT218"/>
      <c r="BU218" t="inlineStr">
        <is>
          <t>Yes</t>
        </is>
      </c>
      <c r="BV218"/>
      <c r="BW218"/>
      <c r="BX218"/>
    </row>
    <row r="219">
      <c r="A219" s="5" t="inlineStr">
        <is>
          <t>SERV</t>
        </is>
      </c>
      <c r="B219" s="5" t="inlineStr">
        <is>
          <t>140852</t>
        </is>
      </c>
      <c r="C219" s="5" t="inlineStr">
        <is>
          <t>Thermocouple T Type Small Tip Probe</t>
        </is>
      </c>
      <c r="D219" s="5" t="inlineStr">
        <is>
          <t>*</t>
        </is>
      </c>
      <c r="E219" s="5" t="inlineStr">
        <is>
          <t>602-060</t>
        </is>
      </c>
      <c r="F219" s="5" t="inlineStr">
        <is>
          <t>*</t>
        </is>
      </c>
      <c r="G219" s="5" t="inlineStr">
        <is>
          <t>*</t>
        </is>
      </c>
      <c r="H219"/>
      <c r="I219"/>
      <c r="J219" s="5" t="inlineStr">
        <is>
          <t>1</t>
        </is>
      </c>
      <c r="K219" s="5" t="inlineStr">
        <is>
          <t>*</t>
        </is>
      </c>
      <c r="L219" t="n">
        <v>0.0</v>
      </c>
      <c r="M219" s="5" t="inlineStr">
        <is>
          <t>602</t>
        </is>
      </c>
      <c r="N219" s="5" t="inlineStr">
        <is>
          <t xml:space="preserve">  -</t>
        </is>
      </c>
      <c r="O219" s="5" t="inlineStr">
        <is>
          <t xml:space="preserve">  -</t>
        </is>
      </c>
      <c r="P219" s="5" t="inlineStr">
        <is>
          <t xml:space="preserve">  -</t>
        </is>
      </c>
      <c r="Q219" s="5" t="inlineStr">
        <is>
          <t>060</t>
        </is>
      </c>
      <c r="R219"/>
      <c r="S219" t="n">
        <v>10.0</v>
      </c>
      <c r="T219"/>
      <c r="U219" t="n">
        <v>10.0</v>
      </c>
      <c r="V219"/>
      <c r="W219" t="n">
        <v>0.0</v>
      </c>
      <c r="X219" t="n">
        <v>0.0</v>
      </c>
      <c r="Y219" t="n">
        <v>0.0</v>
      </c>
      <c r="Z219"/>
      <c r="AA219" t="n">
        <v>0.0</v>
      </c>
      <c r="AB219"/>
      <c r="AC219" t="n">
        <v>10.0</v>
      </c>
      <c r="AD219" s="5" t="inlineStr">
        <is>
          <t>pcs</t>
        </is>
      </c>
      <c r="AE219"/>
      <c r="AF219" s="5" t="inlineStr">
        <is>
          <t>pcs</t>
        </is>
      </c>
      <c r="AG219"/>
      <c r="AH219" t="inlineStr">
        <is>
          <t>No</t>
        </is>
      </c>
      <c r="AI219" s="2" t="n">
        <v>45924.616585648146</v>
      </c>
      <c r="AJ219"/>
      <c r="AK219" t="inlineStr">
        <is>
          <t>Picking</t>
        </is>
      </c>
      <c r="AL219" s="2" t="n">
        <v>45902.47079861111</v>
      </c>
      <c r="AM219"/>
      <c r="AN219"/>
      <c r="AO219" t="n">
        <v>0.0</v>
      </c>
      <c r="AP219" t="n">
        <v>0.0</v>
      </c>
      <c r="AQ219"/>
      <c r="AR219" t="n">
        <v>79.73409615384615</v>
      </c>
      <c r="AS219" t="n">
        <v>797.3409615384616</v>
      </c>
      <c r="AT219" s="5" t="inlineStr">
        <is>
          <t>AUD</t>
        </is>
      </c>
      <c r="AU219" t="inlineStr">
        <is>
          <t>Company Owned</t>
        </is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 t="n">
        <v>0.0</v>
      </c>
      <c r="BK219"/>
      <c r="BL219"/>
      <c r="BM219"/>
      <c r="BN219"/>
      <c r="BO219"/>
      <c r="BP219"/>
      <c r="BQ219"/>
      <c r="BR219"/>
      <c r="BS219"/>
      <c r="BT219"/>
      <c r="BU219" t="inlineStr">
        <is>
          <t>Yes</t>
        </is>
      </c>
      <c r="BV219"/>
      <c r="BW219"/>
      <c r="BX219"/>
    </row>
    <row r="220">
      <c r="A220" s="5" t="inlineStr">
        <is>
          <t>SERV</t>
        </is>
      </c>
      <c r="B220" s="5" t="inlineStr">
        <is>
          <t>140854</t>
        </is>
      </c>
      <c r="C220" s="5" t="inlineStr">
        <is>
          <t>Seal Viton Thermocouple 10-Way</t>
        </is>
      </c>
      <c r="D220" s="5" t="inlineStr">
        <is>
          <t>*</t>
        </is>
      </c>
      <c r="E220" s="5" t="inlineStr">
        <is>
          <t>602-060</t>
        </is>
      </c>
      <c r="F220" s="5" t="inlineStr">
        <is>
          <t>*</t>
        </is>
      </c>
      <c r="G220" s="5" t="inlineStr">
        <is>
          <t>*</t>
        </is>
      </c>
      <c r="H220"/>
      <c r="I220"/>
      <c r="J220" s="5" t="inlineStr">
        <is>
          <t>1</t>
        </is>
      </c>
      <c r="K220" s="5" t="inlineStr">
        <is>
          <t>*</t>
        </is>
      </c>
      <c r="L220" t="n">
        <v>0.0</v>
      </c>
      <c r="M220" s="5" t="inlineStr">
        <is>
          <t>602</t>
        </is>
      </c>
      <c r="N220" s="5" t="inlineStr">
        <is>
          <t xml:space="preserve">  -</t>
        </is>
      </c>
      <c r="O220" s="5" t="inlineStr">
        <is>
          <t xml:space="preserve">  -</t>
        </is>
      </c>
      <c r="P220" s="5" t="inlineStr">
        <is>
          <t xml:space="preserve">  -</t>
        </is>
      </c>
      <c r="Q220" s="5" t="inlineStr">
        <is>
          <t>060</t>
        </is>
      </c>
      <c r="R220"/>
      <c r="S220" t="n">
        <v>1.0</v>
      </c>
      <c r="T220"/>
      <c r="U220" t="n">
        <v>1.0</v>
      </c>
      <c r="V220"/>
      <c r="W220" t="n">
        <v>0.0</v>
      </c>
      <c r="X220" t="n">
        <v>0.0</v>
      </c>
      <c r="Y220" t="n">
        <v>0.0</v>
      </c>
      <c r="Z220"/>
      <c r="AA220" t="n">
        <v>0.0</v>
      </c>
      <c r="AB220"/>
      <c r="AC220" t="n">
        <v>1.0</v>
      </c>
      <c r="AD220" s="5" t="inlineStr">
        <is>
          <t>pcs</t>
        </is>
      </c>
      <c r="AE220"/>
      <c r="AF220" s="5" t="inlineStr">
        <is>
          <t>pcs</t>
        </is>
      </c>
      <c r="AG220"/>
      <c r="AH220" t="inlineStr">
        <is>
          <t>No</t>
        </is>
      </c>
      <c r="AI220" s="2" t="n">
        <v>45924.61744212963</v>
      </c>
      <c r="AJ220"/>
      <c r="AK220" t="inlineStr">
        <is>
          <t>Picking</t>
        </is>
      </c>
      <c r="AL220" s="2" t="n">
        <v>44391.493252314816</v>
      </c>
      <c r="AM220"/>
      <c r="AN220"/>
      <c r="AO220" t="n">
        <v>0.0</v>
      </c>
      <c r="AP220" t="n">
        <v>0.0</v>
      </c>
      <c r="AQ220"/>
      <c r="AR220" t="n">
        <v>37.52107142857143</v>
      </c>
      <c r="AS220" t="n">
        <v>37.52107142857143</v>
      </c>
      <c r="AT220" s="5" t="inlineStr">
        <is>
          <t>AUD</t>
        </is>
      </c>
      <c r="AU220" t="inlineStr">
        <is>
          <t>Company Owned</t>
        </is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 t="n">
        <v>0.0</v>
      </c>
      <c r="BK220"/>
      <c r="BL220"/>
      <c r="BM220"/>
      <c r="BN220"/>
      <c r="BO220"/>
      <c r="BP220"/>
      <c r="BQ220"/>
      <c r="BR220"/>
      <c r="BS220"/>
      <c r="BT220"/>
      <c r="BU220" t="inlineStr">
        <is>
          <t>Yes</t>
        </is>
      </c>
      <c r="BV220"/>
      <c r="BW220"/>
      <c r="BX220"/>
    </row>
    <row r="221">
      <c r="A221" s="5" t="inlineStr">
        <is>
          <t>SERV</t>
        </is>
      </c>
      <c r="B221" s="5" t="inlineStr">
        <is>
          <t>140903</t>
        </is>
      </c>
      <c r="C221" s="5" t="inlineStr">
        <is>
          <t>Connector Splicing 2.5mm 32A 2P</t>
        </is>
      </c>
      <c r="D221" s="5" t="inlineStr">
        <is>
          <t>*</t>
        </is>
      </c>
      <c r="E221" s="5" t="inlineStr">
        <is>
          <t>602-060</t>
        </is>
      </c>
      <c r="F221" s="5" t="inlineStr">
        <is>
          <t>*</t>
        </is>
      </c>
      <c r="G221" s="5" t="inlineStr">
        <is>
          <t>*</t>
        </is>
      </c>
      <c r="H221"/>
      <c r="I221"/>
      <c r="J221" s="5" t="inlineStr">
        <is>
          <t>1</t>
        </is>
      </c>
      <c r="K221" s="5" t="inlineStr">
        <is>
          <t>*</t>
        </is>
      </c>
      <c r="L221" t="n">
        <v>0.0</v>
      </c>
      <c r="M221" s="5" t="inlineStr">
        <is>
          <t>602</t>
        </is>
      </c>
      <c r="N221" s="5" t="inlineStr">
        <is>
          <t xml:space="preserve">  -</t>
        </is>
      </c>
      <c r="O221" s="5" t="inlineStr">
        <is>
          <t xml:space="preserve">  -</t>
        </is>
      </c>
      <c r="P221" s="5" t="inlineStr">
        <is>
          <t xml:space="preserve">  -</t>
        </is>
      </c>
      <c r="Q221" s="5" t="inlineStr">
        <is>
          <t>060</t>
        </is>
      </c>
      <c r="R221"/>
      <c r="S221" t="n">
        <v>10.0</v>
      </c>
      <c r="T221"/>
      <c r="U221" t="n">
        <v>10.0</v>
      </c>
      <c r="V221"/>
      <c r="W221" t="n">
        <v>0.0</v>
      </c>
      <c r="X221" t="n">
        <v>0.0</v>
      </c>
      <c r="Y221" t="n">
        <v>0.0</v>
      </c>
      <c r="Z221"/>
      <c r="AA221" t="n">
        <v>0.0</v>
      </c>
      <c r="AB221"/>
      <c r="AC221" t="n">
        <v>10.0</v>
      </c>
      <c r="AD221" s="5" t="inlineStr">
        <is>
          <t>pcs</t>
        </is>
      </c>
      <c r="AE221"/>
      <c r="AF221" s="5" t="inlineStr">
        <is>
          <t>pcs</t>
        </is>
      </c>
      <c r="AG221"/>
      <c r="AH221" t="inlineStr">
        <is>
          <t>No</t>
        </is>
      </c>
      <c r="AI221" s="2" t="n">
        <v>45841.408796296295</v>
      </c>
      <c r="AJ221" s="1" t="n">
        <f>DATE(2025,7,3)</f>
        <v>0.0</v>
      </c>
      <c r="AK221" t="inlineStr">
        <is>
          <t>Picking</t>
        </is>
      </c>
      <c r="AL221" s="2" t="n">
        <v>45194.256898148145</v>
      </c>
      <c r="AM221"/>
      <c r="AN221"/>
      <c r="AO221" t="n">
        <v>0.0</v>
      </c>
      <c r="AP221" t="n">
        <v>0.0</v>
      </c>
      <c r="AQ221"/>
      <c r="AR221" t="n">
        <v>0.49807148331811446</v>
      </c>
      <c r="AS221" t="n">
        <v>4.980714833181144</v>
      </c>
      <c r="AT221" s="5" t="inlineStr">
        <is>
          <t>AUD</t>
        </is>
      </c>
      <c r="AU221" t="inlineStr">
        <is>
          <t>Company Owned</t>
        </is>
      </c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 t="n">
        <v>0.0</v>
      </c>
      <c r="BK221"/>
      <c r="BL221"/>
      <c r="BM221"/>
      <c r="BN221"/>
      <c r="BO221"/>
      <c r="BP221"/>
      <c r="BQ221"/>
      <c r="BR221"/>
      <c r="BS221"/>
      <c r="BT221"/>
      <c r="BU221" t="inlineStr">
        <is>
          <t>Yes</t>
        </is>
      </c>
      <c r="BV221"/>
      <c r="BW221"/>
      <c r="BX2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2026-03-09T06:36:03Z</dcterms:created>
  <dc:creator>Apache POI</dc:creator>
</cp:coreProperties>
</file>